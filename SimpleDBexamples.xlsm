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120" windowWidth="19020" windowHeight="11760" tabRatio="699" activeTab="2"/>
  </bookViews>
  <sheets>
    <sheet name="Description" sheetId="8" r:id="rId1"/>
    <sheet name="Execute_SQL" sheetId="4" r:id="rId2"/>
    <sheet name="rngExecSQL" sheetId="13" r:id="rId3"/>
    <sheet name="CallSqlFunction" sheetId="11" r:id="rId4"/>
    <sheet name="SqlMultiParamFunc" sheetId="12" r:id="rId5"/>
    <sheet name="CopyFromRecordSetError" sheetId="10" state="hidden" r:id="rId6"/>
    <sheet name="TargetofCOpyFromRecordSheet" sheetId="9" state="hidden" r:id="rId7"/>
    <sheet name="Open_Client" sheetId="14" r:id="rId8"/>
    <sheet name="RecordSet" sheetId="15" r:id="rId9"/>
    <sheet name="FilteredRecordSet2Array" sheetId="16" r:id="rId10"/>
  </sheets>
  <functionGroups/>
  <calcPr calcId="125725"/>
</workbook>
</file>

<file path=xl/calcChain.xml><?xml version="1.0" encoding="utf-8"?>
<calcChain xmlns="http://schemas.openxmlformats.org/spreadsheetml/2006/main">
  <c r="C4" i="9"/>
  <c r="D7" i="13" a="1"/>
  <c r="D20" i="12" a="1"/>
  <c r="C7" i="11"/>
  <c r="D16" i="13" a="1"/>
  <c r="C11" i="11"/>
  <c r="C9"/>
  <c r="C10"/>
  <c r="C8"/>
  <c r="C18" a="1"/>
  <c r="D8" i="12" a="1"/>
  <c r="F7" i="13" l="1"/>
  <c r="D9"/>
  <c r="F8"/>
  <c r="D7"/>
  <c r="E8"/>
  <c r="F9"/>
  <c r="E7"/>
  <c r="D8"/>
  <c r="E9"/>
  <c r="D17"/>
  <c r="G18"/>
  <c r="E20"/>
  <c r="H21"/>
  <c r="E17"/>
  <c r="H18"/>
  <c r="F20"/>
  <c r="D22"/>
  <c r="F17"/>
  <c r="D19"/>
  <c r="G20"/>
  <c r="E22"/>
  <c r="D16"/>
  <c r="G17"/>
  <c r="E19"/>
  <c r="H20"/>
  <c r="F22"/>
  <c r="E16"/>
  <c r="H17"/>
  <c r="F19"/>
  <c r="D21"/>
  <c r="G22"/>
  <c r="F16"/>
  <c r="D18"/>
  <c r="G19"/>
  <c r="E21"/>
  <c r="H22"/>
  <c r="G16"/>
  <c r="E18"/>
  <c r="H19"/>
  <c r="F21"/>
  <c r="H16"/>
  <c r="F18"/>
  <c r="D20"/>
  <c r="G21"/>
  <c r="D21" i="12"/>
  <c r="G22"/>
  <c r="E21"/>
  <c r="H22"/>
  <c r="F21"/>
  <c r="D23"/>
  <c r="D20"/>
  <c r="G21"/>
  <c r="E23"/>
  <c r="E20"/>
  <c r="H21"/>
  <c r="F23"/>
  <c r="F20"/>
  <c r="D22"/>
  <c r="G23"/>
  <c r="G20"/>
  <c r="E22"/>
  <c r="H23"/>
  <c r="H20"/>
  <c r="F22"/>
  <c r="D9"/>
  <c r="G10"/>
  <c r="E12"/>
  <c r="H13"/>
  <c r="F15"/>
  <c r="D17"/>
  <c r="E9"/>
  <c r="H10"/>
  <c r="F12"/>
  <c r="D14"/>
  <c r="G15"/>
  <c r="E17"/>
  <c r="F9"/>
  <c r="D11"/>
  <c r="G12"/>
  <c r="E14"/>
  <c r="H15"/>
  <c r="F17"/>
  <c r="D8"/>
  <c r="G9"/>
  <c r="E11"/>
  <c r="H12"/>
  <c r="F14"/>
  <c r="D16"/>
  <c r="G17"/>
  <c r="E8"/>
  <c r="H9"/>
  <c r="F11"/>
  <c r="D13"/>
  <c r="G14"/>
  <c r="E16"/>
  <c r="H17"/>
  <c r="F8"/>
  <c r="D10"/>
  <c r="G11"/>
  <c r="E13"/>
  <c r="H14"/>
  <c r="F16"/>
  <c r="G8"/>
  <c r="E10"/>
  <c r="H11"/>
  <c r="F13"/>
  <c r="D15"/>
  <c r="G16"/>
  <c r="H8"/>
  <c r="F10"/>
  <c r="D12"/>
  <c r="G13"/>
  <c r="E15"/>
  <c r="H16"/>
  <c r="G18" i="11"/>
  <c r="E20"/>
  <c r="C22"/>
  <c r="F23"/>
  <c r="D25"/>
  <c r="G26"/>
  <c r="E28"/>
  <c r="C19"/>
  <c r="F20"/>
  <c r="D22"/>
  <c r="G23"/>
  <c r="E25"/>
  <c r="C27"/>
  <c r="F28"/>
  <c r="D19"/>
  <c r="G20"/>
  <c r="E22"/>
  <c r="C24"/>
  <c r="F25"/>
  <c r="D27"/>
  <c r="G28"/>
  <c r="E19"/>
  <c r="C21"/>
  <c r="F22"/>
  <c r="D24"/>
  <c r="G25"/>
  <c r="E27"/>
  <c r="C18"/>
  <c r="F19"/>
  <c r="D21"/>
  <c r="G22"/>
  <c r="E24"/>
  <c r="C26"/>
  <c r="F27"/>
  <c r="D18"/>
  <c r="G19"/>
  <c r="E21"/>
  <c r="C23"/>
  <c r="F24"/>
  <c r="D26"/>
  <c r="G27"/>
  <c r="E18"/>
  <c r="C20"/>
  <c r="F21"/>
  <c r="D23"/>
  <c r="G24"/>
  <c r="E26"/>
  <c r="C28"/>
  <c r="F18"/>
  <c r="D20"/>
  <c r="G21"/>
  <c r="E23"/>
  <c r="C25"/>
  <c r="F26"/>
  <c r="D28"/>
</calcChain>
</file>

<file path=xl/sharedStrings.xml><?xml version="1.0" encoding="utf-8"?>
<sst xmlns="http://schemas.openxmlformats.org/spreadsheetml/2006/main" count="2032" uniqueCount="377">
  <si>
    <t xml:space="preserve">sql:  </t>
  </si>
  <si>
    <t xml:space="preserve">conn  
string:  </t>
  </si>
  <si>
    <t>with headings</t>
  </si>
  <si>
    <t>B</t>
  </si>
  <si>
    <t>driver={SQL Server};server=PSFIN1\PSSQL100;database=AnalystDB;dsn='';Trusted_Connection=yes</t>
  </si>
  <si>
    <t>include
column
headings</t>
  </si>
  <si>
    <t>select * from v_OPT_TermsConditions_mr where RunDate='5/3/13'</t>
  </si>
  <si>
    <t>id</t>
  </si>
  <si>
    <t>RunDate</t>
  </si>
  <si>
    <t>SYid</t>
  </si>
  <si>
    <t>DSSYcode</t>
  </si>
  <si>
    <t>Underlier</t>
  </si>
  <si>
    <t>OptDescription</t>
  </si>
  <si>
    <t>OptType</t>
  </si>
  <si>
    <t>ExerciseType</t>
  </si>
  <si>
    <t>CallPut</t>
  </si>
  <si>
    <t>Strike</t>
  </si>
  <si>
    <t>ExpDate</t>
  </si>
  <si>
    <t>ContractSize</t>
  </si>
  <si>
    <t>OptMultiplier</t>
  </si>
  <si>
    <t>Direction</t>
  </si>
  <si>
    <t>Currency</t>
  </si>
  <si>
    <t>UnderlierCrncy</t>
  </si>
  <si>
    <t>FxPriceCrncy</t>
  </si>
  <si>
    <t>FxNotionalCrncy</t>
  </si>
  <si>
    <t>FxBaseCrncy</t>
  </si>
  <si>
    <t>FxCmdCrncy</t>
  </si>
  <si>
    <t>FxCallPutCrncy</t>
  </si>
  <si>
    <t>FxHedgeCrncy</t>
  </si>
  <si>
    <t>FxQuoteConvCrncy</t>
  </si>
  <si>
    <t>LowerBarrier</t>
  </si>
  <si>
    <t>UpperBarrier</t>
  </si>
  <si>
    <t>BarrierType</t>
  </si>
  <si>
    <t>BarrierStartDate</t>
  </si>
  <si>
    <t>BarrierEndDate</t>
  </si>
  <si>
    <t>DATETIME_ENTRY</t>
  </si>
  <si>
    <t>ES2729568 Equity</t>
  </si>
  <si>
    <t>HSH US</t>
  </si>
  <si>
    <t>+HSH1</t>
  </si>
  <si>
    <t>C</t>
  </si>
  <si>
    <t>American</t>
  </si>
  <si>
    <t>Call</t>
  </si>
  <si>
    <t>Buy</t>
  </si>
  <si>
    <t>USD</t>
  </si>
  <si>
    <t>HSH</t>
  </si>
  <si>
    <t>IWM US 06/28/13 P91 Equity</t>
  </si>
  <si>
    <t>IWM US</t>
  </si>
  <si>
    <t>IWM US 06/28/13 P91</t>
  </si>
  <si>
    <t>Put</t>
  </si>
  <si>
    <t>IWM</t>
  </si>
  <si>
    <t>SPXQ US 06/28/13 P1575 Equity</t>
  </si>
  <si>
    <t>SPX</t>
  </si>
  <si>
    <t>SPXQ US 06/28/13 P1575</t>
  </si>
  <si>
    <t>European</t>
  </si>
  <si>
    <t>LAMR US 05/18/13 C50 Equity</t>
  </si>
  <si>
    <t>LAMR US</t>
  </si>
  <si>
    <t>LAMR US 05/18/13 C50</t>
  </si>
  <si>
    <t>LAM</t>
  </si>
  <si>
    <t>LAMR US 05/18/13 P43 Equity</t>
  </si>
  <si>
    <t>LAMR US 05/18/13 P43</t>
  </si>
  <si>
    <t>MTG US 06/22/13 C6 Equity</t>
  </si>
  <si>
    <t>MTG US</t>
  </si>
  <si>
    <t>MTG US 06/22/13 C6</t>
  </si>
  <si>
    <t>MTG</t>
  </si>
  <si>
    <t>RDN US 05/18/13 P10 Equity</t>
  </si>
  <si>
    <t>RDN US</t>
  </si>
  <si>
    <t>RDN US 05/18/13 P10</t>
  </si>
  <si>
    <t>RDN</t>
  </si>
  <si>
    <t>IWM US 06/28/13 P89 Equity</t>
  </si>
  <si>
    <t>IWM US 06/28/13 P89</t>
  </si>
  <si>
    <t>IWM US 06/28/13 P82 Equity</t>
  </si>
  <si>
    <t>IWM US 06/28/13 P82</t>
  </si>
  <si>
    <t>IWM US 06/22/13 P84 Equity</t>
  </si>
  <si>
    <t>IWM US 06/22/13 P84</t>
  </si>
  <si>
    <t>IWM US 06/22/13 P91 Equity</t>
  </si>
  <si>
    <t>IWM US 06/22/13 P91</t>
  </si>
  <si>
    <t>IWM US 05/18/13 P95 Equity</t>
  </si>
  <si>
    <t>IWM US 05/18/13 P95</t>
  </si>
  <si>
    <t>IWM US 05/18/13 P90 Equity</t>
  </si>
  <si>
    <t>IWM US 05/18/13 P90</t>
  </si>
  <si>
    <t>MTG US 05/18/13 C6 Equity</t>
  </si>
  <si>
    <t>MTG US 05/18/13 C6</t>
  </si>
  <si>
    <t>MTG US 05/18/13 C5.5 Equity</t>
  </si>
  <si>
    <t>MTG US 05/18/13 C5.5</t>
  </si>
  <si>
    <t>SX5E 6 P2550 Index</t>
  </si>
  <si>
    <t>SX5E</t>
  </si>
  <si>
    <t>SX5E 06/21/13 P2550</t>
  </si>
  <si>
    <t>EUR</t>
  </si>
  <si>
    <t>SX5</t>
  </si>
  <si>
    <t>OPSQHWHZ Curncy</t>
  </si>
  <si>
    <t>OPSQHWHZ</t>
  </si>
  <si>
    <t>VA</t>
  </si>
  <si>
    <t>P</t>
  </si>
  <si>
    <t>CHF</t>
  </si>
  <si>
    <t>XLF US 05/18/13 P18 Equity</t>
  </si>
  <si>
    <t>XLF US</t>
  </si>
  <si>
    <t>XLF US 05/18/13 P18</t>
  </si>
  <si>
    <t>XLF</t>
  </si>
  <si>
    <t>MTG US 06/22/13 C5.5 Equity</t>
  </si>
  <si>
    <t>MTG US 06/22/13 C5.5</t>
  </si>
  <si>
    <t>ES2674122 Equity</t>
  </si>
  <si>
    <t>AAPL US</t>
  </si>
  <si>
    <t>+AAPL6</t>
  </si>
  <si>
    <t>AAP</t>
  </si>
  <si>
    <t>HES US 01/18/14 C90 Equity</t>
  </si>
  <si>
    <t>HES US</t>
  </si>
  <si>
    <t>HES US 01/18/14 C90</t>
  </si>
  <si>
    <t>HES</t>
  </si>
  <si>
    <t>CHK US 01/18/14 P13 Equity</t>
  </si>
  <si>
    <t>CHK US</t>
  </si>
  <si>
    <t>CHK US 01/18/14 P13</t>
  </si>
  <si>
    <t>CHK</t>
  </si>
  <si>
    <t>ES2668918 Equity</t>
  </si>
  <si>
    <t>BTU US</t>
  </si>
  <si>
    <t>+BTU7</t>
  </si>
  <si>
    <t>BTU</t>
  </si>
  <si>
    <t>IS2662669 Equity</t>
  </si>
  <si>
    <t>FINI15</t>
  </si>
  <si>
    <t>+FINI15</t>
  </si>
  <si>
    <t>ZAR</t>
  </si>
  <si>
    <t>FIN</t>
  </si>
  <si>
    <t>ES2660672 Equity</t>
  </si>
  <si>
    <t>IYR US</t>
  </si>
  <si>
    <t>+IYR1</t>
  </si>
  <si>
    <t>IYR</t>
  </si>
  <si>
    <t>ES2658503 Equity</t>
  </si>
  <si>
    <t>+BTU6</t>
  </si>
  <si>
    <t>ES2652848 Equity</t>
  </si>
  <si>
    <t>+BTU5</t>
  </si>
  <si>
    <t>ES2652846 Equity</t>
  </si>
  <si>
    <t>+BTU4</t>
  </si>
  <si>
    <t>Sell</t>
  </si>
  <si>
    <t>AAPL US 10/19/13 C445 Equity</t>
  </si>
  <si>
    <t>AAPL US 10/19/13 C445</t>
  </si>
  <si>
    <t>ES2650693 Equity</t>
  </si>
  <si>
    <t>+IYR</t>
  </si>
  <si>
    <t>ES2649836 Equity</t>
  </si>
  <si>
    <t>+BTU2</t>
  </si>
  <si>
    <t>ES2649837 Equity</t>
  </si>
  <si>
    <t>+BTU3</t>
  </si>
  <si>
    <t>AAPL US 06/22/13 C490 Equity</t>
  </si>
  <si>
    <t>AAPL US 06/22/13 C490</t>
  </si>
  <si>
    <t>AAPL US 06/22/13 C480 Equity</t>
  </si>
  <si>
    <t>AAPL US 06/22/13 C480</t>
  </si>
  <si>
    <t>ES2635864 Equity</t>
  </si>
  <si>
    <t>+AAPL4</t>
  </si>
  <si>
    <t>ES2634726 Equity</t>
  </si>
  <si>
    <t>+AAPL3</t>
  </si>
  <si>
    <t>ES2633884 Equity</t>
  </si>
  <si>
    <t>+BTU</t>
  </si>
  <si>
    <t>ES2633886 Equity</t>
  </si>
  <si>
    <t>+BTU1</t>
  </si>
  <si>
    <t>ES2633879 Equity</t>
  </si>
  <si>
    <t>+AAPL</t>
  </si>
  <si>
    <t>CHK US 01/18/14 P15 Equity</t>
  </si>
  <si>
    <t>CHK US 01/18/14 P15</t>
  </si>
  <si>
    <t>IYR US 06/22/13 P65 Equity</t>
  </si>
  <si>
    <t>IYR US 06/22/13 P65</t>
  </si>
  <si>
    <t>CHK US 01/18/14 P10 Equity</t>
  </si>
  <si>
    <t>CHK US 01/18/14 P10</t>
  </si>
  <si>
    <t>SPX US 09/21/13 P1325 Equity</t>
  </si>
  <si>
    <t>SPX US 09/21/13 P1325</t>
  </si>
  <si>
    <t>ES2277875 Equity</t>
  </si>
  <si>
    <t>UAM US</t>
  </si>
  <si>
    <t>+UAM53016</t>
  </si>
  <si>
    <t>UAM</t>
  </si>
  <si>
    <t>ES2277874 Equity</t>
  </si>
  <si>
    <t>+UAM53015</t>
  </si>
  <si>
    <t>ES2277869 Equity</t>
  </si>
  <si>
    <t>+UAM53014</t>
  </si>
  <si>
    <t>ES2277868 Equity</t>
  </si>
  <si>
    <t>+UAM53013</t>
  </si>
  <si>
    <t>OPSLL8X8 Curncy</t>
  </si>
  <si>
    <t>OPSLL8X8</t>
  </si>
  <si>
    <t>SAR</t>
  </si>
  <si>
    <t>OPSLL8X9 Curncy</t>
  </si>
  <si>
    <t>OPSLL8X9</t>
  </si>
  <si>
    <t>OPSL7KCZ Comdty</t>
  </si>
  <si>
    <t>NGG4</t>
  </si>
  <si>
    <t>OPSL7KCZ</t>
  </si>
  <si>
    <t>UNI</t>
  </si>
  <si>
    <t>NGG</t>
  </si>
  <si>
    <t>OPSL3Z5N Curncy</t>
  </si>
  <si>
    <t>OPSL3Z5N</t>
  </si>
  <si>
    <t>OPSL3Z5P Curncy</t>
  </si>
  <si>
    <t>OPSL3Z5P</t>
  </si>
  <si>
    <t>OPSJNJ6G Curncy</t>
  </si>
  <si>
    <t>OPSJNJ6G</t>
  </si>
  <si>
    <t>OPSJNJ6F Curncy</t>
  </si>
  <si>
    <t>OPSJNJ6F</t>
  </si>
  <si>
    <t>OPSJMM49 Curncy</t>
  </si>
  <si>
    <t>OPSJMM49</t>
  </si>
  <si>
    <t>OPSJMLXH Curncy</t>
  </si>
  <si>
    <t>OPSJMLXH</t>
  </si>
  <si>
    <t>ES2273995 Equity</t>
  </si>
  <si>
    <t>+UAM2015</t>
  </si>
  <si>
    <t>ES2273993 Equity</t>
  </si>
  <si>
    <t>+UAM2014</t>
  </si>
  <si>
    <t>ES2273964 Equity</t>
  </si>
  <si>
    <t>+UAM2013</t>
  </si>
  <si>
    <t>ES2273991 Equity</t>
  </si>
  <si>
    <t>+UAM2012</t>
  </si>
  <si>
    <t>.BMS_WTSUS</t>
  </si>
  <si>
    <t>.OV_WTS2US</t>
  </si>
  <si>
    <t>.GBG WT US Equity</t>
  </si>
  <si>
    <t>.OVA_WTSUS</t>
  </si>
  <si>
    <t>U_ADO.BAS</t>
  </si>
  <si>
    <t>is mostly a VBA source to facilitate SQL querying in Excel</t>
  </si>
  <si>
    <t>It contains a few wrappers for ADODB calls</t>
  </si>
  <si>
    <t>and some functions to fetch record sets or single values</t>
  </si>
  <si>
    <t>function</t>
  </si>
  <si>
    <t>description</t>
  </si>
  <si>
    <t>Open_Client</t>
  </si>
  <si>
    <t>Open ADODB.Connection</t>
  </si>
  <si>
    <t>ADODB.Connection</t>
  </si>
  <si>
    <t>object to open</t>
  </si>
  <si>
    <t>name</t>
  </si>
  <si>
    <t>type</t>
  </si>
  <si>
    <t>returns</t>
  </si>
  <si>
    <t>boolean</t>
  </si>
  <si>
    <t>success or failure indicator</t>
  </si>
  <si>
    <t>strConnStrig</t>
  </si>
  <si>
    <t>String</t>
  </si>
  <si>
    <t>Connection String</t>
  </si>
  <si>
    <t>strERR</t>
  </si>
  <si>
    <t>optional Sting</t>
  </si>
  <si>
    <t>error description</t>
  </si>
  <si>
    <t>timeout</t>
  </si>
  <si>
    <t>optional Int</t>
  </si>
  <si>
    <t>default is 120 sec</t>
  </si>
  <si>
    <t>connection</t>
  </si>
  <si>
    <t>SQL</t>
  </si>
  <si>
    <t>Col Titles?</t>
  </si>
  <si>
    <t>headings?</t>
  </si>
  <si>
    <t>Execute_SQL</t>
  </si>
  <si>
    <t>Execute arbitrary SQL</t>
  </si>
  <si>
    <t>dbsConnectin</t>
  </si>
  <si>
    <t>open connection</t>
  </si>
  <si>
    <t>rstRecordSet</t>
  </si>
  <si>
    <t>record set to fill</t>
  </si>
  <si>
    <t>ADODB.Recorset</t>
  </si>
  <si>
    <t>sql query</t>
  </si>
  <si>
    <t>success or failure</t>
  </si>
  <si>
    <t>driver={SQL Server};server=DSFIN1\DSSQL100;database=AnalystDB;dsn='';Trusted_Connection=yes</t>
  </si>
  <si>
    <t>select st.STcode from sy left join ST on sy.STid = st.STid where SYcode = 'PARAMETER'</t>
  </si>
  <si>
    <t>STcode</t>
  </si>
  <si>
    <t>SYcode</t>
  </si>
  <si>
    <t>CHK_CRSWAP</t>
  </si>
  <si>
    <t>ES0000101263</t>
  </si>
  <si>
    <t>OATH3</t>
  </si>
  <si>
    <t>PUNTA_NOTE</t>
  </si>
  <si>
    <t>SOAF_CRSWAP18</t>
  </si>
  <si>
    <t>CallSqlFunc</t>
  </si>
  <si>
    <t>select top(10) SYID, DSSYcode, Underlier, ExpDate, Strike from v_OPT_TermsConditions_mr where RunDate='PARAMETER'</t>
  </si>
  <si>
    <t>parameter</t>
  </si>
  <si>
    <t>CallSqlFunction</t>
  </si>
  <si>
    <t>Execute SQL returning a value.  Meant specifically for</t>
  </si>
  <si>
    <t>Initially intended for when SQL returns a scalar value</t>
  </si>
  <si>
    <t>It works equally well for Record sets</t>
  </si>
  <si>
    <t>situations when SQL takes one parameter and all the inputs</t>
  </si>
  <si>
    <t>are strings making it easy to call in a worksheet  formula</t>
  </si>
  <si>
    <t>strSQL</t>
  </si>
  <si>
    <t>sqlPARAM</t>
  </si>
  <si>
    <t>formal parameter</t>
  </si>
  <si>
    <t>SQLParamValue</t>
  </si>
  <si>
    <t>param value to replace sqlPARAM</t>
  </si>
  <si>
    <t>blnShowHeadings</t>
  </si>
  <si>
    <t>display or not headings (dflt. False)</t>
  </si>
  <si>
    <t>variant</t>
  </si>
  <si>
    <t>result of calling strSQL</t>
  </si>
  <si>
    <t>SQqlMultiParamFunc</t>
  </si>
  <si>
    <t>select top(10) SYID, DSSYcode, Underlier, ExpDate, Strike from v_OPT_TermsConditions_mr where RunDate='PARAM1' and dssycode like 'PARAM2'</t>
  </si>
  <si>
    <t>ParamNames</t>
  </si>
  <si>
    <t>ParamVals</t>
  </si>
  <si>
    <t>PARAM1</t>
  </si>
  <si>
    <t>PARAM2</t>
  </si>
  <si>
    <t>AAP%</t>
  </si>
  <si>
    <t>SqlMultiParamFunc</t>
  </si>
  <si>
    <t xml:space="preserve">Execute SQL returning some values.  </t>
  </si>
  <si>
    <t>similar to CallSqlFunction, except that it takes aan arbitrary</t>
  </si>
  <si>
    <t>number of parameters passed in a range</t>
  </si>
  <si>
    <t>rngPnames</t>
  </si>
  <si>
    <t>rngPvalues</t>
  </si>
  <si>
    <t>Range</t>
  </si>
  <si>
    <t>COLUMN of formal params</t>
  </si>
  <si>
    <t>COLUMN of values to replace params</t>
  </si>
  <si>
    <t>optional Boolean</t>
  </si>
  <si>
    <t>Execute_SQL can only be called from inside VBA (e.g., as here tied to a button)  It returns success or failure, and fills the record set passed to it from the one returned by a call to SQL Server.  
This record set has to be "manually" (programatically) placed in some range (here "B5")</t>
  </si>
  <si>
    <r>
      <t xml:space="preserve">single calls to </t>
    </r>
    <r>
      <rPr>
        <b/>
        <sz val="10"/>
        <rFont val="Courier New"/>
        <family val="3"/>
      </rPr>
      <t>CallSqlFunction</t>
    </r>
  </si>
  <si>
    <t>rngExecSQL</t>
  </si>
  <si>
    <t>Execute arbitrary SQL return its output.</t>
  </si>
  <si>
    <t>blForceConnOpen</t>
  </si>
  <si>
    <t>reuse ADODB connection? (dflt True)</t>
  </si>
  <si>
    <t xml:space="preserve">connection string: </t>
  </si>
  <si>
    <t xml:space="preserve">SQL: </t>
  </si>
  <si>
    <t>wrappers</t>
  </si>
  <si>
    <t>direct calls</t>
  </si>
  <si>
    <t>display or not headings (dflt. TRUE)</t>
  </si>
  <si>
    <t xml:space="preserve">conn string:  </t>
  </si>
  <si>
    <t xml:space="preserve">time out: </t>
  </si>
  <si>
    <r>
      <t xml:space="preserve">parameters </t>
    </r>
    <r>
      <rPr>
        <sz val="12"/>
        <color rgb="FF0070C0"/>
        <rFont val="Arial"/>
        <family val="2"/>
      </rPr>
      <t xml:space="preserve"> (optional are blue)</t>
    </r>
  </si>
  <si>
    <t>RecordSet methods</t>
  </si>
  <si>
    <t>RecordSet2Array</t>
  </si>
  <si>
    <t>Copy a RecordSet to an array</t>
  </si>
  <si>
    <t>Records</t>
  </si>
  <si>
    <t>RecordSet</t>
  </si>
  <si>
    <t>data from a SQL query</t>
  </si>
  <si>
    <t>DataTable from SQL query</t>
  </si>
  <si>
    <t>showHeadings</t>
  </si>
  <si>
    <t>display or not headings (dflt. True)</t>
  </si>
  <si>
    <t>RecordSet2Excel
RangeViaArrays</t>
  </si>
  <si>
    <r>
      <t xml:space="preserve">RecordSet </t>
    </r>
    <r>
      <rPr>
        <sz val="12"/>
        <rFont val="Bookman Old Style"/>
        <family val="1"/>
      </rPr>
      <t>Methods</t>
    </r>
  </si>
  <si>
    <t>driver={SQL Server};server=PSFIN1\PSSQL100;database=VPM_DW;dsn='';Trusted_Connection=yes</t>
  </si>
  <si>
    <t xml:space="preserve"> </t>
  </si>
  <si>
    <t xml:space="preserve">SELECT 
date, 
position = CASE WHEN sysstgrcode = 'OP' THEN Sum(qty) * mp.delta * tc.contractsize ELSE Sum(qty) END, 
ClsngPrc = Max(pnl.price)  
FROM vpm_dw.dbo.v_position_pnl_mr pnl 
LEFT JOIN v_Opt_TermsConditions_mr tc ON tc.rundate = pnl.date and  tc.syid = pnl.syid  
LEFT JOIN v_OPT_MarketPricing_mr mp ON mp.rundate = pnl.date and  mp.syid = pnl.syid 
WHERE  date &gt;= '20120826' AND date &lt;= '20140430' AND ( fncode = 'PRY' OR fncode = 'OFF' ) AND sycode = 'AIG' AND pnl.price &gt; 0 
GROUP  BY date , sysstgrcode, mp.delta, tc.contractsize 
ORDER  BY date  </t>
  </si>
  <si>
    <t>rngTgt</t>
  </si>
  <si>
    <t>B11</t>
  </si>
  <si>
    <t>date</t>
  </si>
  <si>
    <t>position</t>
  </si>
  <si>
    <t>ClsngPrc</t>
  </si>
  <si>
    <t>Dump a recordSet straight to specified Range</t>
  </si>
  <si>
    <t>rngTarget</t>
  </si>
  <si>
    <t>where to dump the Records</t>
  </si>
  <si>
    <t>filterOn</t>
  </si>
  <si>
    <t>turn filter on (default = false)</t>
  </si>
  <si>
    <t>rsTimeSeries2Array</t>
  </si>
  <si>
    <t>Copy a RecordSet of Time Series to an array</t>
  </si>
  <si>
    <t>useful for skipping weekends</t>
  </si>
  <si>
    <t>SkipWeekends</t>
  </si>
  <si>
    <t>show only weekdays (dflt false)</t>
  </si>
  <si>
    <t>ver 5.15.06.17</t>
  </si>
  <si>
    <t>FilteredRecordSet2Array</t>
  </si>
  <si>
    <t>astrFilter()</t>
  </si>
  <si>
    <t>intCol</t>
  </si>
  <si>
    <t>Integer</t>
  </si>
  <si>
    <t>singled out column</t>
  </si>
  <si>
    <t xml:space="preserve">Filter out: </t>
  </si>
  <si>
    <t>FOXA Equity</t>
  </si>
  <si>
    <t>FREJP Pfd</t>
  </si>
  <si>
    <t>select date, ticker, beta , Correlation 
from v_reportTS 
where ticker like  'F%' 
and date &gt; '6/1/15' 
and regressionid=1 
order by date, ticker</t>
  </si>
  <si>
    <t>UnFiltered</t>
  </si>
  <si>
    <t>ticker</t>
  </si>
  <si>
    <t>beta</t>
  </si>
  <si>
    <t>Correlation</t>
  </si>
  <si>
    <t>FMCC Equity</t>
  </si>
  <si>
    <t>FMCCH Pfd</t>
  </si>
  <si>
    <t>FMCCO Pfd</t>
  </si>
  <si>
    <t>FMCCP Pfd</t>
  </si>
  <si>
    <t>FMCCT Pfd</t>
  </si>
  <si>
    <t>FMCKJ Pfd</t>
  </si>
  <si>
    <t>FMCKK Pfd</t>
  </si>
  <si>
    <t>FMCKM Pfd</t>
  </si>
  <si>
    <t>FMCKN Pfd</t>
  </si>
  <si>
    <t>FMCKO Pfd</t>
  </si>
  <si>
    <t>FNMA Equity</t>
  </si>
  <si>
    <t>FNMAG Pfd</t>
  </si>
  <si>
    <t>FNMAJ Pfd</t>
  </si>
  <si>
    <t>FNMAK Pfd</t>
  </si>
  <si>
    <t>FNMAL Pfd</t>
  </si>
  <si>
    <t>FNMAM Pfd</t>
  </si>
  <si>
    <t>FNMAN Pfd</t>
  </si>
  <si>
    <t>FNMAP Pfd</t>
  </si>
  <si>
    <t>FNMAS Pfd</t>
  </si>
  <si>
    <t>FNMFN Pfd</t>
  </si>
  <si>
    <t>FNMFO Pfd</t>
  </si>
  <si>
    <t>FilteredIn</t>
  </si>
  <si>
    <t>FilteredOut</t>
  </si>
  <si>
    <t xml:space="preserve">Copy a RecordSet to an array while including </t>
  </si>
  <si>
    <t>or skipping specified records</t>
  </si>
  <si>
    <t>strings to filter in</t>
  </si>
  <si>
    <t>includeOrExclude</t>
  </si>
  <si>
    <t>how to treat specified strings</t>
  </si>
  <si>
    <t>driver={SQL Server};server=AKLENOVO\SQLExpress;database=akatzDB;dsn='';Trusted_Connection=yes</t>
  </si>
  <si>
    <t>select * from simpleDataSeries</t>
  </si>
  <si>
    <t>col1</t>
  </si>
  <si>
    <t>val</t>
  </si>
  <si>
    <t>select col1, id, val from simpledataseries where id&gt;1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</si>
</sst>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_(* #,##0_);_(* \(#,##0\);_(* &quot;-&quot;??_);_(@_)"/>
    <numFmt numFmtId="165" formatCode="m/d/yy;@"/>
    <numFmt numFmtId="166" formatCode="mm/dd/yy;@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color indexed="12"/>
      <name val="Courier New"/>
      <family val="3"/>
    </font>
    <font>
      <b/>
      <sz val="10"/>
      <color indexed="12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sz val="8"/>
      <color theme="3" tint="0.59999389629810485"/>
      <name val="Arial"/>
      <family val="2"/>
    </font>
    <font>
      <sz val="10"/>
      <color rgb="FF0070C0"/>
      <name val="Arial"/>
      <family val="2"/>
    </font>
    <font>
      <b/>
      <sz val="10"/>
      <name val="Courier New"/>
      <family val="3"/>
    </font>
    <font>
      <b/>
      <sz val="12"/>
      <name val="Courier New"/>
      <family val="3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Bookman Old Style"/>
      <family val="1"/>
    </font>
    <font>
      <b/>
      <sz val="11"/>
      <name val="Arial"/>
      <family val="2"/>
    </font>
    <font>
      <b/>
      <sz val="1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3" fillId="0" borderId="0"/>
  </cellStyleXfs>
  <cellXfs count="213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0" fillId="0" borderId="0" xfId="0" applyBorder="1"/>
    <xf numFmtId="164" fontId="0" fillId="0" borderId="0" xfId="1" applyNumberFormat="1" applyFont="1" applyBorder="1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center"/>
    </xf>
    <xf numFmtId="0" fontId="8" fillId="0" borderId="1" xfId="0" applyFont="1" applyBorder="1" applyAlignment="1">
      <alignment horizontal="right" vertical="top"/>
    </xf>
    <xf numFmtId="0" fontId="0" fillId="2" borderId="0" xfId="0" applyFill="1"/>
    <xf numFmtId="0" fontId="8" fillId="0" borderId="2" xfId="0" applyFont="1" applyBorder="1" applyAlignment="1">
      <alignment horizontal="right" vertical="center" wrapText="1"/>
    </xf>
    <xf numFmtId="0" fontId="10" fillId="0" borderId="0" xfId="0" applyFont="1" applyBorder="1" applyAlignment="1">
      <alignment vertical="top" wrapText="1"/>
    </xf>
    <xf numFmtId="0" fontId="6" fillId="2" borderId="0" xfId="0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10" fillId="0" borderId="0" xfId="0" applyFont="1"/>
    <xf numFmtId="14" fontId="10" fillId="0" borderId="0" xfId="0" applyNumberFormat="1" applyFont="1"/>
    <xf numFmtId="22" fontId="10" fillId="0" borderId="0" xfId="0" applyNumberFormat="1" applyFont="1"/>
    <xf numFmtId="0" fontId="10" fillId="0" borderId="0" xfId="0" quotePrefix="1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22" fontId="10" fillId="0" borderId="0" xfId="0" applyNumberFormat="1" applyFont="1" applyAlignment="1">
      <alignment horizontal="center"/>
    </xf>
    <xf numFmtId="1" fontId="10" fillId="0" borderId="0" xfId="0" applyNumberFormat="1" applyFont="1"/>
    <xf numFmtId="1" fontId="11" fillId="0" borderId="0" xfId="0" applyNumberFormat="1" applyFont="1"/>
    <xf numFmtId="164" fontId="10" fillId="0" borderId="0" xfId="1" applyNumberFormat="1" applyFont="1"/>
    <xf numFmtId="0" fontId="10" fillId="4" borderId="7" xfId="0" applyFont="1" applyFill="1" applyBorder="1"/>
    <xf numFmtId="0" fontId="10" fillId="4" borderId="8" xfId="0" applyFont="1" applyFill="1" applyBorder="1"/>
    <xf numFmtId="0" fontId="10" fillId="4" borderId="9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6" fillId="4" borderId="0" xfId="0" applyFont="1" applyFill="1" applyAlignment="1">
      <alignment horizontal="right" indent="1"/>
    </xf>
    <xf numFmtId="0" fontId="10" fillId="0" borderId="4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5" fillId="4" borderId="1" xfId="0" applyFont="1" applyFill="1" applyBorder="1"/>
    <xf numFmtId="0" fontId="10" fillId="5" borderId="15" xfId="0" applyFont="1" applyFill="1" applyBorder="1" applyAlignment="1">
      <alignment horizontal="left" vertical="center" wrapText="1"/>
    </xf>
    <xf numFmtId="0" fontId="0" fillId="5" borderId="17" xfId="0" applyFill="1" applyBorder="1"/>
    <xf numFmtId="0" fontId="10" fillId="0" borderId="14" xfId="0" applyFont="1" applyBorder="1"/>
    <xf numFmtId="0" fontId="10" fillId="0" borderId="16" xfId="0" applyFont="1" applyBorder="1"/>
    <xf numFmtId="14" fontId="0" fillId="0" borderId="0" xfId="0" applyNumberFormat="1"/>
    <xf numFmtId="2" fontId="0" fillId="0" borderId="0" xfId="0" applyNumberFormat="1"/>
    <xf numFmtId="0" fontId="6" fillId="0" borderId="1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20" xfId="0" applyBorder="1"/>
    <xf numFmtId="0" fontId="10" fillId="0" borderId="18" xfId="0" applyFont="1" applyBorder="1"/>
    <xf numFmtId="0" fontId="14" fillId="0" borderId="18" xfId="0" applyFont="1" applyBorder="1"/>
    <xf numFmtId="0" fontId="14" fillId="0" borderId="21" xfId="0" applyFont="1" applyBorder="1"/>
    <xf numFmtId="0" fontId="10" fillId="0" borderId="15" xfId="0" applyFont="1" applyBorder="1"/>
    <xf numFmtId="0" fontId="10" fillId="0" borderId="22" xfId="0" applyFont="1" applyBorder="1"/>
    <xf numFmtId="0" fontId="10" fillId="0" borderId="23" xfId="0" applyFont="1" applyBorder="1"/>
    <xf numFmtId="0" fontId="14" fillId="0" borderId="22" xfId="0" applyFont="1" applyBorder="1"/>
    <xf numFmtId="0" fontId="14" fillId="0" borderId="23" xfId="0" applyFont="1" applyBorder="1"/>
    <xf numFmtId="0" fontId="14" fillId="0" borderId="16" xfId="0" applyFont="1" applyBorder="1"/>
    <xf numFmtId="0" fontId="14" fillId="0" borderId="17" xfId="0" applyFont="1" applyBorder="1"/>
    <xf numFmtId="0" fontId="10" fillId="0" borderId="24" xfId="0" applyFont="1" applyBorder="1"/>
    <xf numFmtId="0" fontId="0" fillId="0" borderId="25" xfId="0" applyBorder="1"/>
    <xf numFmtId="0" fontId="0" fillId="0" borderId="26" xfId="0" applyBorder="1"/>
    <xf numFmtId="0" fontId="10" fillId="0" borderId="27" xfId="0" applyFont="1" applyBorder="1"/>
    <xf numFmtId="0" fontId="0" fillId="0" borderId="28" xfId="0" applyBorder="1"/>
    <xf numFmtId="0" fontId="0" fillId="0" borderId="29" xfId="0" applyBorder="1"/>
    <xf numFmtId="0" fontId="6" fillId="0" borderId="14" xfId="0" applyFont="1" applyBorder="1" applyAlignment="1">
      <alignment horizontal="right" indent="1"/>
    </xf>
    <xf numFmtId="0" fontId="6" fillId="0" borderId="16" xfId="0" applyFont="1" applyBorder="1" applyAlignment="1">
      <alignment horizontal="right" indent="1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49" fontId="3" fillId="5" borderId="22" xfId="2" applyNumberFormat="1" applyFill="1" applyBorder="1"/>
    <xf numFmtId="49" fontId="3" fillId="5" borderId="16" xfId="2" applyNumberFormat="1" applyFill="1" applyBorder="1"/>
    <xf numFmtId="0" fontId="0" fillId="6" borderId="23" xfId="0" applyFill="1" applyBorder="1"/>
    <xf numFmtId="0" fontId="0" fillId="6" borderId="17" xfId="0" applyFill="1" applyBorder="1"/>
    <xf numFmtId="0" fontId="0" fillId="6" borderId="23" xfId="0" applyFill="1" applyBorder="1" applyAlignment="1">
      <alignment horizontal="left" indent="1"/>
    </xf>
    <xf numFmtId="0" fontId="0" fillId="6" borderId="17" xfId="0" applyFill="1" applyBorder="1" applyAlignment="1">
      <alignment horizontal="left" indent="1"/>
    </xf>
    <xf numFmtId="0" fontId="16" fillId="4" borderId="19" xfId="0" applyFont="1" applyFill="1" applyBorder="1" applyAlignment="1">
      <alignment horizontal="center" vertical="center"/>
    </xf>
    <xf numFmtId="0" fontId="0" fillId="0" borderId="22" xfId="0" applyBorder="1"/>
    <xf numFmtId="0" fontId="0" fillId="6" borderId="20" xfId="0" applyFill="1" applyBorder="1"/>
    <xf numFmtId="0" fontId="0" fillId="6" borderId="15" xfId="0" applyFill="1" applyBorder="1"/>
    <xf numFmtId="0" fontId="0" fillId="6" borderId="22" xfId="0" applyFill="1" applyBorder="1"/>
    <xf numFmtId="0" fontId="0" fillId="6" borderId="18" xfId="0" applyFill="1" applyBorder="1"/>
    <xf numFmtId="0" fontId="0" fillId="6" borderId="16" xfId="0" applyFill="1" applyBorder="1"/>
    <xf numFmtId="0" fontId="0" fillId="6" borderId="21" xfId="0" applyFill="1" applyBorder="1"/>
    <xf numFmtId="0" fontId="0" fillId="6" borderId="30" xfId="0" applyFill="1" applyBorder="1"/>
    <xf numFmtId="0" fontId="6" fillId="0" borderId="31" xfId="0" applyFont="1" applyBorder="1" applyAlignment="1">
      <alignment horizontal="right" indent="1"/>
    </xf>
    <xf numFmtId="0" fontId="6" fillId="0" borderId="34" xfId="0" applyFont="1" applyBorder="1" applyAlignment="1">
      <alignment horizontal="right" indent="1"/>
    </xf>
    <xf numFmtId="14" fontId="0" fillId="5" borderId="35" xfId="0" applyNumberFormat="1" applyFill="1" applyBorder="1"/>
    <xf numFmtId="0" fontId="10" fillId="0" borderId="18" xfId="0" applyFont="1" applyFill="1" applyBorder="1"/>
    <xf numFmtId="0" fontId="10" fillId="0" borderId="20" xfId="0" applyFont="1" applyBorder="1"/>
    <xf numFmtId="0" fontId="10" fillId="0" borderId="22" xfId="0" applyFont="1" applyFill="1" applyBorder="1"/>
    <xf numFmtId="0" fontId="10" fillId="0" borderId="23" xfId="0" applyFont="1" applyFill="1" applyBorder="1"/>
    <xf numFmtId="0" fontId="12" fillId="0" borderId="6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14" fontId="0" fillId="5" borderId="23" xfId="0" applyNumberFormat="1" applyFill="1" applyBorder="1"/>
    <xf numFmtId="0" fontId="10" fillId="5" borderId="17" xfId="0" applyFont="1" applyFill="1" applyBorder="1"/>
    <xf numFmtId="0" fontId="10" fillId="5" borderId="22" xfId="0" applyFont="1" applyFill="1" applyBorder="1"/>
    <xf numFmtId="0" fontId="10" fillId="5" borderId="16" xfId="0" applyFont="1" applyFill="1" applyBorder="1"/>
    <xf numFmtId="0" fontId="6" fillId="0" borderId="36" xfId="0" applyFont="1" applyBorder="1"/>
    <xf numFmtId="0" fontId="6" fillId="0" borderId="30" xfId="0" applyFont="1" applyBorder="1"/>
    <xf numFmtId="0" fontId="0" fillId="6" borderId="14" xfId="0" applyFill="1" applyBorder="1"/>
    <xf numFmtId="0" fontId="6" fillId="6" borderId="37" xfId="0" applyFont="1" applyFill="1" applyBorder="1" applyAlignment="1">
      <alignment horizontal="center"/>
    </xf>
    <xf numFmtId="0" fontId="6" fillId="6" borderId="38" xfId="0" applyFont="1" applyFill="1" applyBorder="1" applyAlignment="1">
      <alignment horizontal="center"/>
    </xf>
    <xf numFmtId="0" fontId="6" fillId="6" borderId="39" xfId="0" applyFont="1" applyFill="1" applyBorder="1" applyAlignment="1">
      <alignment horizontal="center"/>
    </xf>
    <xf numFmtId="0" fontId="0" fillId="6" borderId="8" xfId="0" applyFill="1" applyBorder="1"/>
    <xf numFmtId="0" fontId="0" fillId="6" borderId="36" xfId="0" applyFill="1" applyBorder="1"/>
    <xf numFmtId="0" fontId="10" fillId="0" borderId="25" xfId="0" applyFont="1" applyBorder="1"/>
    <xf numFmtId="0" fontId="10" fillId="0" borderId="0" xfId="0" applyFont="1"/>
    <xf numFmtId="165" fontId="0" fillId="6" borderId="18" xfId="0" applyNumberFormat="1" applyFill="1" applyBorder="1"/>
    <xf numFmtId="165" fontId="0" fillId="6" borderId="21" xfId="0" applyNumberFormat="1" applyFill="1" applyBorder="1"/>
    <xf numFmtId="0" fontId="14" fillId="0" borderId="0" xfId="0" applyFont="1" applyBorder="1"/>
    <xf numFmtId="0" fontId="0" fillId="0" borderId="14" xfId="0" applyBorder="1" applyAlignment="1">
      <alignment horizontal="right"/>
    </xf>
    <xf numFmtId="0" fontId="0" fillId="0" borderId="16" xfId="0" applyBorder="1" applyAlignment="1">
      <alignment horizontal="right"/>
    </xf>
    <xf numFmtId="0" fontId="10" fillId="0" borderId="28" xfId="0" applyFont="1" applyBorder="1"/>
    <xf numFmtId="0" fontId="10" fillId="0" borderId="11" xfId="0" applyFont="1" applyBorder="1"/>
    <xf numFmtId="0" fontId="14" fillId="0" borderId="0" xfId="0" applyFont="1"/>
    <xf numFmtId="0" fontId="0" fillId="8" borderId="10" xfId="0" applyFill="1" applyBorder="1"/>
    <xf numFmtId="0" fontId="0" fillId="7" borderId="10" xfId="0" applyFill="1" applyBorder="1"/>
    <xf numFmtId="0" fontId="17" fillId="5" borderId="15" xfId="0" applyFont="1" applyFill="1" applyBorder="1"/>
    <xf numFmtId="0" fontId="17" fillId="5" borderId="17" xfId="0" applyFont="1" applyFill="1" applyBorder="1" applyAlignment="1">
      <alignment wrapText="1"/>
    </xf>
    <xf numFmtId="0" fontId="10" fillId="0" borderId="0" xfId="0" applyFont="1" applyAlignment="1">
      <alignment horizontal="left" vertical="center"/>
    </xf>
    <xf numFmtId="166" fontId="0" fillId="6" borderId="18" xfId="0" applyNumberFormat="1" applyFill="1" applyBorder="1"/>
    <xf numFmtId="166" fontId="0" fillId="6" borderId="21" xfId="0" applyNumberFormat="1" applyFill="1" applyBorder="1"/>
    <xf numFmtId="0" fontId="0" fillId="0" borderId="3" xfId="0" applyBorder="1"/>
    <xf numFmtId="0" fontId="0" fillId="0" borderId="4" xfId="0" applyBorder="1"/>
    <xf numFmtId="0" fontId="8" fillId="0" borderId="14" xfId="0" applyFont="1" applyBorder="1" applyAlignment="1">
      <alignment horizontal="right" vertical="center" wrapText="1"/>
    </xf>
    <xf numFmtId="0" fontId="8" fillId="0" borderId="16" xfId="0" applyFont="1" applyBorder="1" applyAlignment="1">
      <alignment horizontal="right" vertical="center" wrapText="1"/>
    </xf>
    <xf numFmtId="0" fontId="0" fillId="5" borderId="17" xfId="0" applyFill="1" applyBorder="1" applyAlignment="1">
      <alignment horizontal="left"/>
    </xf>
    <xf numFmtId="0" fontId="0" fillId="9" borderId="12" xfId="0" applyFill="1" applyBorder="1"/>
    <xf numFmtId="0" fontId="10" fillId="0" borderId="40" xfId="0" applyFont="1" applyBorder="1"/>
    <xf numFmtId="0" fontId="10" fillId="0" borderId="41" xfId="0" applyFont="1" applyFill="1" applyBorder="1"/>
    <xf numFmtId="0" fontId="14" fillId="0" borderId="42" xfId="0" applyFont="1" applyBorder="1"/>
    <xf numFmtId="0" fontId="14" fillId="0" borderId="43" xfId="0" applyFont="1" applyBorder="1"/>
    <xf numFmtId="0" fontId="14" fillId="0" borderId="44" xfId="0" applyFont="1" applyBorder="1"/>
    <xf numFmtId="0" fontId="10" fillId="0" borderId="45" xfId="0" applyFont="1" applyFill="1" applyBorder="1"/>
    <xf numFmtId="0" fontId="10" fillId="0" borderId="14" xfId="0" applyFont="1" applyFill="1" applyBorder="1"/>
    <xf numFmtId="0" fontId="10" fillId="0" borderId="15" xfId="0" applyFont="1" applyFill="1" applyBorder="1"/>
    <xf numFmtId="0" fontId="0" fillId="0" borderId="16" xfId="0" applyBorder="1"/>
    <xf numFmtId="0" fontId="0" fillId="0" borderId="17" xfId="0" applyBorder="1"/>
    <xf numFmtId="0" fontId="6" fillId="0" borderId="27" xfId="0" applyFont="1" applyBorder="1" applyAlignment="1">
      <alignment horizontal="right" indent="1"/>
    </xf>
    <xf numFmtId="0" fontId="21" fillId="0" borderId="48" xfId="0" applyFont="1" applyBorder="1" applyAlignment="1">
      <alignment horizontal="center" vertical="center"/>
    </xf>
    <xf numFmtId="0" fontId="10" fillId="0" borderId="37" xfId="0" applyFont="1" applyBorder="1"/>
    <xf numFmtId="0" fontId="15" fillId="4" borderId="24" xfId="0" applyFont="1" applyFill="1" applyBorder="1" applyAlignment="1">
      <alignment wrapText="1"/>
    </xf>
    <xf numFmtId="0" fontId="0" fillId="9" borderId="25" xfId="0" applyFill="1" applyBorder="1"/>
    <xf numFmtId="0" fontId="10" fillId="0" borderId="24" xfId="0" applyFont="1" applyBorder="1" applyAlignment="1"/>
    <xf numFmtId="0" fontId="10" fillId="0" borderId="51" xfId="0" applyFont="1" applyFill="1" applyBorder="1"/>
    <xf numFmtId="0" fontId="10" fillId="0" borderId="52" xfId="0" applyFont="1" applyFill="1" applyBorder="1"/>
    <xf numFmtId="0" fontId="14" fillId="0" borderId="51" xfId="0" applyFont="1" applyBorder="1"/>
    <xf numFmtId="0" fontId="14" fillId="0" borderId="52" xfId="0" applyFont="1" applyBorder="1"/>
    <xf numFmtId="0" fontId="14" fillId="0" borderId="53" xfId="0" applyFont="1" applyBorder="1"/>
    <xf numFmtId="0" fontId="10" fillId="0" borderId="53" xfId="0" applyFont="1" applyFill="1" applyBorder="1"/>
    <xf numFmtId="0" fontId="20" fillId="8" borderId="0" xfId="0" applyFont="1" applyFill="1"/>
    <xf numFmtId="0" fontId="20" fillId="7" borderId="0" xfId="0" applyFont="1" applyFill="1"/>
    <xf numFmtId="0" fontId="20" fillId="9" borderId="0" xfId="0" applyFont="1" applyFill="1"/>
    <xf numFmtId="0" fontId="10" fillId="0" borderId="28" xfId="0" applyFont="1" applyFill="1" applyBorder="1"/>
    <xf numFmtId="0" fontId="10" fillId="0" borderId="54" xfId="0" applyFont="1" applyFill="1" applyBorder="1"/>
    <xf numFmtId="0" fontId="0" fillId="9" borderId="10" xfId="0" applyFill="1" applyBorder="1"/>
    <xf numFmtId="0" fontId="10" fillId="0" borderId="27" xfId="0" applyFont="1" applyFill="1" applyBorder="1"/>
    <xf numFmtId="0" fontId="10" fillId="0" borderId="47" xfId="0" applyFont="1" applyFill="1" applyBorder="1"/>
    <xf numFmtId="0" fontId="0" fillId="0" borderId="55" xfId="0" applyBorder="1"/>
    <xf numFmtId="0" fontId="10" fillId="0" borderId="56" xfId="0" applyFont="1" applyBorder="1"/>
    <xf numFmtId="0" fontId="10" fillId="0" borderId="57" xfId="0" applyFont="1" applyFill="1" applyBorder="1"/>
    <xf numFmtId="0" fontId="10" fillId="0" borderId="58" xfId="0" applyFont="1" applyFill="1" applyBorder="1"/>
    <xf numFmtId="0" fontId="10" fillId="0" borderId="59" xfId="0" applyFont="1" applyBorder="1"/>
    <xf numFmtId="0" fontId="10" fillId="0" borderId="60" xfId="0" applyFont="1" applyFill="1" applyBorder="1"/>
    <xf numFmtId="0" fontId="10" fillId="0" borderId="61" xfId="0" applyFont="1" applyFill="1" applyBorder="1"/>
    <xf numFmtId="0" fontId="10" fillId="0" borderId="62" xfId="0" applyFont="1" applyBorder="1"/>
    <xf numFmtId="0" fontId="10" fillId="0" borderId="63" xfId="0" applyFont="1" applyFill="1" applyBorder="1"/>
    <xf numFmtId="0" fontId="10" fillId="0" borderId="64" xfId="0" applyFont="1" applyFill="1" applyBorder="1"/>
    <xf numFmtId="0" fontId="0" fillId="10" borderId="14" xfId="0" applyFill="1" applyBorder="1"/>
    <xf numFmtId="0" fontId="0" fillId="10" borderId="20" xfId="0" applyFill="1" applyBorder="1"/>
    <xf numFmtId="0" fontId="0" fillId="10" borderId="15" xfId="0" applyFill="1" applyBorder="1"/>
    <xf numFmtId="0" fontId="0" fillId="10" borderId="30" xfId="0" applyFill="1" applyBorder="1"/>
    <xf numFmtId="0" fontId="6" fillId="0" borderId="65" xfId="0" applyFont="1" applyBorder="1" applyAlignment="1">
      <alignment horizontal="right" indent="1"/>
    </xf>
    <xf numFmtId="0" fontId="21" fillId="0" borderId="68" xfId="0" applyFont="1" applyBorder="1" applyAlignment="1">
      <alignment horizontal="center" vertical="center"/>
    </xf>
    <xf numFmtId="0" fontId="10" fillId="0" borderId="72" xfId="0" applyFont="1" applyBorder="1"/>
    <xf numFmtId="0" fontId="0" fillId="0" borderId="68" xfId="0" applyBorder="1"/>
    <xf numFmtId="0" fontId="0" fillId="5" borderId="69" xfId="0" applyFill="1" applyBorder="1"/>
    <xf numFmtId="0" fontId="6" fillId="10" borderId="0" xfId="0" applyFont="1" applyFill="1"/>
    <xf numFmtId="0" fontId="0" fillId="5" borderId="70" xfId="0" applyFill="1" applyBorder="1"/>
    <xf numFmtId="0" fontId="14" fillId="0" borderId="77" xfId="0" applyFont="1" applyBorder="1"/>
    <xf numFmtId="0" fontId="14" fillId="0" borderId="78" xfId="0" applyFont="1" applyFill="1" applyBorder="1"/>
    <xf numFmtId="0" fontId="14" fillId="0" borderId="79" xfId="0" applyFont="1" applyFill="1" applyBorder="1"/>
    <xf numFmtId="0" fontId="12" fillId="0" borderId="14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9" fillId="3" borderId="3" xfId="0" applyFont="1" applyFill="1" applyBorder="1" applyAlignment="1">
      <alignment vertical="top" wrapText="1"/>
    </xf>
    <xf numFmtId="0" fontId="9" fillId="3" borderId="3" xfId="0" quotePrefix="1" applyFont="1" applyFill="1" applyBorder="1" applyAlignment="1">
      <alignment vertical="top" wrapText="1"/>
    </xf>
    <xf numFmtId="0" fontId="9" fillId="3" borderId="4" xfId="0" quotePrefix="1" applyFont="1" applyFill="1" applyBorder="1" applyAlignment="1">
      <alignment vertical="top" wrapText="1"/>
    </xf>
    <xf numFmtId="0" fontId="10" fillId="5" borderId="5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 wrapText="1"/>
    </xf>
    <xf numFmtId="0" fontId="0" fillId="5" borderId="6" xfId="0" applyFill="1" applyBorder="1" applyAlignment="1">
      <alignment horizontal="left" vertical="center" wrapText="1"/>
    </xf>
    <xf numFmtId="0" fontId="10" fillId="4" borderId="2" xfId="0" applyFont="1" applyFill="1" applyBorder="1" applyAlignment="1">
      <alignment vertical="top" wrapText="1"/>
    </xf>
    <xf numFmtId="0" fontId="0" fillId="4" borderId="5" xfId="0" applyFill="1" applyBorder="1" applyAlignment="1">
      <alignment vertical="top" wrapText="1"/>
    </xf>
    <xf numFmtId="0" fontId="0" fillId="4" borderId="6" xfId="0" applyFill="1" applyBorder="1" applyAlignment="1">
      <alignment vertical="top" wrapText="1"/>
    </xf>
    <xf numFmtId="0" fontId="3" fillId="5" borderId="21" xfId="2" applyFill="1" applyBorder="1"/>
    <xf numFmtId="0" fontId="3" fillId="5" borderId="17" xfId="2" applyFill="1" applyBorder="1"/>
    <xf numFmtId="0" fontId="3" fillId="5" borderId="20" xfId="2" applyFill="1" applyBorder="1"/>
    <xf numFmtId="0" fontId="3" fillId="5" borderId="15" xfId="2" applyFill="1" applyBorder="1"/>
    <xf numFmtId="0" fontId="3" fillId="5" borderId="32" xfId="2" applyFill="1" applyBorder="1"/>
    <xf numFmtId="0" fontId="3" fillId="5" borderId="33" xfId="2" applyFill="1" applyBorder="1"/>
    <xf numFmtId="0" fontId="10" fillId="0" borderId="0" xfId="0" applyFont="1"/>
    <xf numFmtId="0" fontId="2" fillId="5" borderId="46" xfId="2" applyFont="1" applyFill="1" applyBorder="1"/>
    <xf numFmtId="0" fontId="3" fillId="5" borderId="46" xfId="2" applyFill="1" applyBorder="1"/>
    <xf numFmtId="0" fontId="3" fillId="5" borderId="47" xfId="2" applyFill="1" applyBorder="1"/>
    <xf numFmtId="0" fontId="10" fillId="5" borderId="49" xfId="0" applyFont="1" applyFill="1" applyBorder="1" applyAlignment="1">
      <alignment wrapText="1"/>
    </xf>
    <xf numFmtId="0" fontId="0" fillId="5" borderId="49" xfId="0" applyFill="1" applyBorder="1" applyAlignment="1">
      <alignment wrapText="1"/>
    </xf>
    <xf numFmtId="0" fontId="0" fillId="5" borderId="50" xfId="0" applyFill="1" applyBorder="1" applyAlignment="1">
      <alignment wrapText="1"/>
    </xf>
    <xf numFmtId="0" fontId="10" fillId="5" borderId="38" xfId="0" applyFont="1" applyFill="1" applyBorder="1"/>
    <xf numFmtId="0" fontId="10" fillId="5" borderId="39" xfId="0" applyFont="1" applyFill="1" applyBorder="1"/>
    <xf numFmtId="0" fontId="1" fillId="5" borderId="66" xfId="2" applyFont="1" applyFill="1" applyBorder="1"/>
    <xf numFmtId="0" fontId="3" fillId="5" borderId="66" xfId="2" applyFill="1" applyBorder="1"/>
    <xf numFmtId="0" fontId="3" fillId="5" borderId="67" xfId="2" applyFill="1" applyBorder="1"/>
    <xf numFmtId="0" fontId="10" fillId="5" borderId="71" xfId="0" applyFont="1" applyFill="1" applyBorder="1" applyAlignment="1">
      <alignment vertical="center" wrapText="1"/>
    </xf>
    <xf numFmtId="0" fontId="0" fillId="5" borderId="75" xfId="0" applyFill="1" applyBorder="1" applyAlignment="1">
      <alignment vertical="center" wrapText="1"/>
    </xf>
    <xf numFmtId="0" fontId="0" fillId="5" borderId="76" xfId="0" applyFill="1" applyBorder="1" applyAlignment="1">
      <alignment vertical="center" wrapText="1"/>
    </xf>
    <xf numFmtId="0" fontId="10" fillId="5" borderId="73" xfId="0" applyFont="1" applyFill="1" applyBorder="1"/>
    <xf numFmtId="0" fontId="10" fillId="5" borderId="74" xfId="0" applyFont="1" applyFill="1" applyBorder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CCFFCC"/>
      <color rgb="FF00FFFF"/>
      <color rgb="FFCCFFFF"/>
      <color rgb="FF66FFCC"/>
      <color rgb="FF33CC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6</xdr:row>
      <xdr:rowOff>142875</xdr:rowOff>
    </xdr:from>
    <xdr:to>
      <xdr:col>6</xdr:col>
      <xdr:colOff>438150</xdr:colOff>
      <xdr:row>8</xdr:row>
      <xdr:rowOff>76200</xdr:rowOff>
    </xdr:to>
    <xdr:cxnSp macro="">
      <xdr:nvCxnSpPr>
        <xdr:cNvPr id="3" name="Straight Arrow Connector 2"/>
        <xdr:cNvCxnSpPr/>
      </xdr:nvCxnSpPr>
      <xdr:spPr>
        <a:xfrm flipH="1" flipV="1">
          <a:off x="3324225" y="1162050"/>
          <a:ext cx="2305050" cy="3143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895350</xdr:colOff>
      <xdr:row>7</xdr:row>
      <xdr:rowOff>95250</xdr:rowOff>
    </xdr:from>
    <xdr:to>
      <xdr:col>6</xdr:col>
      <xdr:colOff>409576</xdr:colOff>
      <xdr:row>8</xdr:row>
      <xdr:rowOff>114300</xdr:rowOff>
    </xdr:to>
    <xdr:cxnSp macro="">
      <xdr:nvCxnSpPr>
        <xdr:cNvPr id="4" name="Straight Arrow Connector 3"/>
        <xdr:cNvCxnSpPr/>
      </xdr:nvCxnSpPr>
      <xdr:spPr>
        <a:xfrm flipH="1" flipV="1">
          <a:off x="3267075" y="1304925"/>
          <a:ext cx="2333626" cy="2095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885825</xdr:colOff>
      <xdr:row>8</xdr:row>
      <xdr:rowOff>171450</xdr:rowOff>
    </xdr:from>
    <xdr:to>
      <xdr:col>6</xdr:col>
      <xdr:colOff>447676</xdr:colOff>
      <xdr:row>9</xdr:row>
      <xdr:rowOff>114300</xdr:rowOff>
    </xdr:to>
    <xdr:cxnSp macro="">
      <xdr:nvCxnSpPr>
        <xdr:cNvPr id="6" name="Straight Arrow Connector 5"/>
        <xdr:cNvCxnSpPr/>
      </xdr:nvCxnSpPr>
      <xdr:spPr>
        <a:xfrm flipH="1">
          <a:off x="3257550" y="1571625"/>
          <a:ext cx="2381251" cy="1333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886558</xdr:colOff>
      <xdr:row>8</xdr:row>
      <xdr:rowOff>80596</xdr:rowOff>
    </xdr:from>
    <xdr:to>
      <xdr:col>6</xdr:col>
      <xdr:colOff>476251</xdr:colOff>
      <xdr:row>8</xdr:row>
      <xdr:rowOff>161925</xdr:rowOff>
    </xdr:to>
    <xdr:cxnSp macro="">
      <xdr:nvCxnSpPr>
        <xdr:cNvPr id="8" name="Straight Arrow Connector 7"/>
        <xdr:cNvCxnSpPr/>
      </xdr:nvCxnSpPr>
      <xdr:spPr>
        <a:xfrm flipH="1" flipV="1">
          <a:off x="3260481" y="1480038"/>
          <a:ext cx="3663462" cy="81329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942976</xdr:colOff>
      <xdr:row>9</xdr:row>
      <xdr:rowOff>9525</xdr:rowOff>
    </xdr:from>
    <xdr:to>
      <xdr:col>6</xdr:col>
      <xdr:colOff>504825</xdr:colOff>
      <xdr:row>10</xdr:row>
      <xdr:rowOff>104775</xdr:rowOff>
    </xdr:to>
    <xdr:cxnSp macro="">
      <xdr:nvCxnSpPr>
        <xdr:cNvPr id="10" name="Straight Arrow Connector 9"/>
        <xdr:cNvCxnSpPr/>
      </xdr:nvCxnSpPr>
      <xdr:spPr>
        <a:xfrm flipH="1">
          <a:off x="3314701" y="1600200"/>
          <a:ext cx="2381249" cy="2857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95251</xdr:colOff>
      <xdr:row>9</xdr:row>
      <xdr:rowOff>38100</xdr:rowOff>
    </xdr:from>
    <xdr:to>
      <xdr:col>6</xdr:col>
      <xdr:colOff>561975</xdr:colOff>
      <xdr:row>18</xdr:row>
      <xdr:rowOff>133350</xdr:rowOff>
    </xdr:to>
    <xdr:cxnSp macro="">
      <xdr:nvCxnSpPr>
        <xdr:cNvPr id="12" name="Straight Arrow Connector 11"/>
        <xdr:cNvCxnSpPr/>
      </xdr:nvCxnSpPr>
      <xdr:spPr>
        <a:xfrm flipH="1">
          <a:off x="4676776" y="1628775"/>
          <a:ext cx="1076324" cy="16859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control" Target="../activeX/activeX9.xml"/><Relationship Id="rId1" Type="http://schemas.openxmlformats.org/officeDocument/2006/relationships/vmlDrawing" Target="../drawings/vmlDrawing5.vml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I55"/>
  <sheetViews>
    <sheetView zoomScale="90" zoomScaleNormal="90" workbookViewId="0">
      <selection activeCell="E3" sqref="E3"/>
    </sheetView>
  </sheetViews>
  <sheetFormatPr defaultRowHeight="12.75"/>
  <cols>
    <col min="1" max="1" width="5.7109375" customWidth="1"/>
    <col min="2" max="2" width="26.7109375" customWidth="1"/>
    <col min="3" max="3" width="50.85546875" bestFit="1" customWidth="1"/>
    <col min="4" max="4" width="16" bestFit="1" customWidth="1"/>
    <col min="5" max="5" width="17.7109375" bestFit="1" customWidth="1"/>
    <col min="6" max="6" width="32.7109375" bestFit="1" customWidth="1"/>
    <col min="7" max="7" width="7.42578125" bestFit="1" customWidth="1"/>
    <col min="8" max="8" width="23.5703125" bestFit="1" customWidth="1"/>
  </cols>
  <sheetData>
    <row r="1" spans="1:9">
      <c r="A1" s="27" t="s">
        <v>330</v>
      </c>
    </row>
    <row r="2" spans="1:9">
      <c r="B2" s="28" t="s">
        <v>206</v>
      </c>
      <c r="C2" s="25" t="s">
        <v>207</v>
      </c>
    </row>
    <row r="3" spans="1:9">
      <c r="C3" s="23" t="s">
        <v>208</v>
      </c>
    </row>
    <row r="4" spans="1:9">
      <c r="C4" s="24" t="s">
        <v>209</v>
      </c>
    </row>
    <row r="6" spans="1:9" ht="15">
      <c r="B6" s="146" t="s">
        <v>295</v>
      </c>
    </row>
    <row r="7" spans="1:9" ht="15">
      <c r="B7" s="147" t="s">
        <v>296</v>
      </c>
    </row>
    <row r="8" spans="1:9" ht="15.75" thickBot="1">
      <c r="B8" s="148" t="s">
        <v>301</v>
      </c>
    </row>
    <row r="9" spans="1:9" ht="16.5" thickBot="1">
      <c r="D9" s="178" t="s">
        <v>300</v>
      </c>
      <c r="E9" s="179"/>
      <c r="F9" s="180"/>
      <c r="G9" s="178" t="s">
        <v>218</v>
      </c>
      <c r="H9" s="180"/>
      <c r="I9" s="26"/>
    </row>
    <row r="10" spans="1:9" ht="16.5" thickBot="1">
      <c r="B10" s="88" t="s">
        <v>210</v>
      </c>
      <c r="C10" s="87" t="s">
        <v>211</v>
      </c>
      <c r="D10" s="41" t="s">
        <v>216</v>
      </c>
      <c r="E10" s="42" t="s">
        <v>217</v>
      </c>
      <c r="F10" s="43" t="s">
        <v>211</v>
      </c>
      <c r="G10" s="41" t="s">
        <v>217</v>
      </c>
      <c r="H10" s="43" t="s">
        <v>211</v>
      </c>
    </row>
    <row r="11" spans="1:9" ht="9.75" customHeight="1" thickBot="1"/>
    <row r="12" spans="1:9" ht="13.5">
      <c r="B12" s="34" t="s">
        <v>212</v>
      </c>
      <c r="C12" s="55" t="s">
        <v>213</v>
      </c>
      <c r="D12" s="37" t="s">
        <v>236</v>
      </c>
      <c r="E12" s="44" t="s">
        <v>214</v>
      </c>
      <c r="F12" s="48" t="s">
        <v>215</v>
      </c>
      <c r="G12" s="58" t="s">
        <v>219</v>
      </c>
      <c r="H12" s="29" t="s">
        <v>220</v>
      </c>
    </row>
    <row r="13" spans="1:9">
      <c r="B13" s="111"/>
      <c r="C13" s="56"/>
      <c r="D13" s="49" t="s">
        <v>221</v>
      </c>
      <c r="E13" s="45" t="s">
        <v>222</v>
      </c>
      <c r="F13" s="50" t="s">
        <v>223</v>
      </c>
      <c r="G13" s="59"/>
      <c r="H13" s="31"/>
    </row>
    <row r="14" spans="1:9">
      <c r="B14" s="30"/>
      <c r="C14" s="56"/>
      <c r="D14" s="51" t="s">
        <v>224</v>
      </c>
      <c r="E14" s="46" t="s">
        <v>225</v>
      </c>
      <c r="F14" s="52" t="s">
        <v>226</v>
      </c>
      <c r="G14" s="59"/>
      <c r="H14" s="31"/>
    </row>
    <row r="15" spans="1:9" ht="13.5" thickBot="1">
      <c r="B15" s="32"/>
      <c r="C15" s="57"/>
      <c r="D15" s="53" t="s">
        <v>227</v>
      </c>
      <c r="E15" s="47" t="s">
        <v>228</v>
      </c>
      <c r="F15" s="54" t="s">
        <v>229</v>
      </c>
      <c r="G15" s="60"/>
      <c r="H15" s="33"/>
    </row>
    <row r="16" spans="1:9" ht="6" customHeight="1" thickBot="1"/>
    <row r="17" spans="2:8" ht="13.5">
      <c r="B17" s="34" t="s">
        <v>234</v>
      </c>
      <c r="C17" s="55" t="s">
        <v>235</v>
      </c>
      <c r="D17" s="37" t="s">
        <v>236</v>
      </c>
      <c r="E17" s="44" t="s">
        <v>214</v>
      </c>
      <c r="F17" s="48" t="s">
        <v>237</v>
      </c>
      <c r="G17" s="58" t="s">
        <v>219</v>
      </c>
      <c r="H17" s="29" t="s">
        <v>242</v>
      </c>
    </row>
    <row r="18" spans="2:8">
      <c r="B18" s="111"/>
      <c r="C18" s="56"/>
      <c r="D18" s="49" t="s">
        <v>238</v>
      </c>
      <c r="E18" s="45" t="s">
        <v>240</v>
      </c>
      <c r="F18" s="50" t="s">
        <v>239</v>
      </c>
      <c r="G18" s="59"/>
      <c r="H18" s="31"/>
    </row>
    <row r="19" spans="2:8">
      <c r="B19" s="30"/>
      <c r="C19" s="56"/>
      <c r="D19" s="49" t="s">
        <v>261</v>
      </c>
      <c r="E19" s="45" t="s">
        <v>222</v>
      </c>
      <c r="F19" s="50" t="s">
        <v>241</v>
      </c>
      <c r="G19" s="59"/>
      <c r="H19" s="31"/>
    </row>
    <row r="20" spans="2:8" ht="13.5" thickBot="1">
      <c r="B20" s="32"/>
      <c r="C20" s="57"/>
      <c r="D20" s="53" t="s">
        <v>224</v>
      </c>
      <c r="E20" s="47" t="s">
        <v>225</v>
      </c>
      <c r="F20" s="54" t="s">
        <v>226</v>
      </c>
      <c r="G20" s="60"/>
      <c r="H20" s="33"/>
    </row>
    <row r="21" spans="2:8" ht="6" customHeight="1" thickBot="1">
      <c r="B21" s="3"/>
      <c r="C21" s="3"/>
      <c r="D21" s="105"/>
      <c r="E21" s="105"/>
      <c r="F21" s="105"/>
      <c r="G21" s="3"/>
      <c r="H21" s="3"/>
    </row>
    <row r="22" spans="2:8" ht="13.5">
      <c r="B22" s="34" t="s">
        <v>289</v>
      </c>
      <c r="C22" s="55" t="s">
        <v>290</v>
      </c>
      <c r="D22" s="37" t="s">
        <v>221</v>
      </c>
      <c r="E22" s="84" t="s">
        <v>222</v>
      </c>
      <c r="F22" s="48" t="s">
        <v>223</v>
      </c>
      <c r="G22" s="58" t="s">
        <v>268</v>
      </c>
      <c r="H22" s="29" t="s">
        <v>269</v>
      </c>
    </row>
    <row r="23" spans="2:8">
      <c r="B23" s="112"/>
      <c r="C23" s="56"/>
      <c r="D23" s="49" t="s">
        <v>261</v>
      </c>
      <c r="E23" s="45" t="s">
        <v>222</v>
      </c>
      <c r="F23" s="50" t="s">
        <v>241</v>
      </c>
      <c r="G23" s="108"/>
      <c r="H23" s="109"/>
    </row>
    <row r="24" spans="2:8">
      <c r="B24" s="30"/>
      <c r="C24" s="56"/>
      <c r="D24" s="110" t="s">
        <v>266</v>
      </c>
      <c r="E24" s="110" t="s">
        <v>286</v>
      </c>
      <c r="F24" s="110" t="s">
        <v>297</v>
      </c>
      <c r="G24" s="59"/>
      <c r="H24" s="31"/>
    </row>
    <row r="25" spans="2:8" ht="13.5" thickBot="1">
      <c r="B25" s="32"/>
      <c r="C25" s="57"/>
      <c r="D25" s="53" t="s">
        <v>291</v>
      </c>
      <c r="E25" s="47" t="s">
        <v>286</v>
      </c>
      <c r="F25" s="54" t="s">
        <v>292</v>
      </c>
      <c r="G25" s="60"/>
      <c r="H25" s="33"/>
    </row>
    <row r="26" spans="2:8" ht="6" customHeight="1" thickBot="1"/>
    <row r="27" spans="2:8" ht="13.5">
      <c r="B27" s="34" t="s">
        <v>255</v>
      </c>
      <c r="C27" s="55" t="s">
        <v>256</v>
      </c>
      <c r="D27" s="37" t="s">
        <v>221</v>
      </c>
      <c r="E27" s="84" t="s">
        <v>222</v>
      </c>
      <c r="F27" s="48" t="s">
        <v>223</v>
      </c>
      <c r="G27" s="58" t="s">
        <v>268</v>
      </c>
      <c r="H27" s="29" t="s">
        <v>269</v>
      </c>
    </row>
    <row r="28" spans="2:8">
      <c r="B28" s="112"/>
      <c r="C28" s="56" t="s">
        <v>259</v>
      </c>
      <c r="D28" s="49" t="s">
        <v>261</v>
      </c>
      <c r="E28" s="45" t="s">
        <v>222</v>
      </c>
      <c r="F28" s="50" t="s">
        <v>241</v>
      </c>
      <c r="G28" s="59"/>
      <c r="H28" s="31"/>
    </row>
    <row r="29" spans="2:8">
      <c r="B29" s="30"/>
      <c r="C29" s="56" t="s">
        <v>260</v>
      </c>
      <c r="D29" s="85" t="s">
        <v>262</v>
      </c>
      <c r="E29" s="83" t="s">
        <v>222</v>
      </c>
      <c r="F29" s="86" t="s">
        <v>263</v>
      </c>
      <c r="G29" s="59"/>
      <c r="H29" s="31"/>
    </row>
    <row r="30" spans="2:8">
      <c r="B30" s="30"/>
      <c r="C30" s="56" t="s">
        <v>257</v>
      </c>
      <c r="D30" s="72" t="s">
        <v>264</v>
      </c>
      <c r="E30" s="83" t="s">
        <v>222</v>
      </c>
      <c r="F30" s="86" t="s">
        <v>265</v>
      </c>
      <c r="G30" s="59"/>
      <c r="H30" s="31"/>
    </row>
    <row r="31" spans="2:8" ht="13.5" thickBot="1">
      <c r="B31" s="32"/>
      <c r="C31" s="57" t="s">
        <v>258</v>
      </c>
      <c r="D31" s="53" t="s">
        <v>266</v>
      </c>
      <c r="E31" s="47" t="s">
        <v>286</v>
      </c>
      <c r="F31" s="54" t="s">
        <v>267</v>
      </c>
      <c r="G31" s="60"/>
      <c r="H31" s="33"/>
    </row>
    <row r="32" spans="2:8" ht="6" customHeight="1" thickBot="1"/>
    <row r="33" spans="2:8" ht="13.5">
      <c r="B33" s="34" t="s">
        <v>277</v>
      </c>
      <c r="C33" s="55" t="s">
        <v>278</v>
      </c>
      <c r="D33" s="37" t="s">
        <v>221</v>
      </c>
      <c r="E33" s="84" t="s">
        <v>222</v>
      </c>
      <c r="F33" s="48" t="s">
        <v>223</v>
      </c>
      <c r="G33" s="58" t="s">
        <v>268</v>
      </c>
      <c r="H33" s="29" t="s">
        <v>269</v>
      </c>
    </row>
    <row r="34" spans="2:8">
      <c r="B34" s="112"/>
      <c r="C34" s="101" t="s">
        <v>279</v>
      </c>
      <c r="D34" s="49" t="s">
        <v>261</v>
      </c>
      <c r="E34" s="45" t="s">
        <v>222</v>
      </c>
      <c r="F34" s="50" t="s">
        <v>241</v>
      </c>
      <c r="G34" s="59"/>
      <c r="H34" s="31"/>
    </row>
    <row r="35" spans="2:8">
      <c r="B35" s="30"/>
      <c r="C35" s="101" t="s">
        <v>280</v>
      </c>
      <c r="D35" s="85" t="s">
        <v>281</v>
      </c>
      <c r="E35" s="83" t="s">
        <v>283</v>
      </c>
      <c r="F35" s="86" t="s">
        <v>284</v>
      </c>
      <c r="G35" s="59"/>
      <c r="H35" s="31"/>
    </row>
    <row r="36" spans="2:8">
      <c r="B36" s="30"/>
      <c r="C36" s="56"/>
      <c r="D36" s="49" t="s">
        <v>282</v>
      </c>
      <c r="E36" s="83" t="s">
        <v>283</v>
      </c>
      <c r="F36" s="86" t="s">
        <v>285</v>
      </c>
      <c r="G36" s="59"/>
      <c r="H36" s="31"/>
    </row>
    <row r="37" spans="2:8" ht="13.5" thickBot="1">
      <c r="B37" s="32"/>
      <c r="C37" s="57"/>
      <c r="D37" s="53" t="s">
        <v>266</v>
      </c>
      <c r="E37" s="47" t="s">
        <v>286</v>
      </c>
      <c r="F37" s="54" t="s">
        <v>267</v>
      </c>
      <c r="G37" s="60"/>
      <c r="H37" s="33"/>
    </row>
    <row r="38" spans="2:8" ht="6" customHeight="1" thickBot="1"/>
    <row r="39" spans="2:8" ht="13.5">
      <c r="B39" s="34" t="s">
        <v>302</v>
      </c>
      <c r="C39" s="55" t="s">
        <v>303</v>
      </c>
      <c r="D39" s="124" t="s">
        <v>304</v>
      </c>
      <c r="E39" s="125" t="s">
        <v>305</v>
      </c>
      <c r="F39" s="129" t="s">
        <v>306</v>
      </c>
      <c r="G39" s="130" t="s">
        <v>268</v>
      </c>
      <c r="H39" s="131" t="s">
        <v>307</v>
      </c>
    </row>
    <row r="40" spans="2:8" ht="13.5" thickBot="1">
      <c r="B40" s="123"/>
      <c r="C40" s="57"/>
      <c r="D40" s="126" t="s">
        <v>308</v>
      </c>
      <c r="E40" s="127" t="s">
        <v>286</v>
      </c>
      <c r="F40" s="128" t="s">
        <v>309</v>
      </c>
      <c r="G40" s="132"/>
      <c r="H40" s="133"/>
    </row>
    <row r="41" spans="2:8" ht="6" customHeight="1" thickBot="1"/>
    <row r="42" spans="2:8" ht="27" customHeight="1">
      <c r="B42" s="137" t="s">
        <v>310</v>
      </c>
      <c r="C42" s="139" t="s">
        <v>320</v>
      </c>
      <c r="D42" s="124" t="s">
        <v>304</v>
      </c>
      <c r="E42" s="125" t="s">
        <v>305</v>
      </c>
      <c r="F42" s="129" t="s">
        <v>306</v>
      </c>
      <c r="G42" s="58" t="s">
        <v>219</v>
      </c>
      <c r="H42" s="29" t="s">
        <v>220</v>
      </c>
    </row>
    <row r="43" spans="2:8">
      <c r="B43" s="138"/>
      <c r="C43" s="56"/>
      <c r="D43" s="140" t="s">
        <v>321</v>
      </c>
      <c r="E43" s="141" t="s">
        <v>283</v>
      </c>
      <c r="F43" s="145" t="s">
        <v>322</v>
      </c>
      <c r="G43" s="59"/>
      <c r="H43" s="31"/>
    </row>
    <row r="44" spans="2:8">
      <c r="B44" s="56"/>
      <c r="C44" s="56"/>
      <c r="D44" s="142" t="s">
        <v>308</v>
      </c>
      <c r="E44" s="143" t="s">
        <v>286</v>
      </c>
      <c r="F44" s="144" t="s">
        <v>309</v>
      </c>
      <c r="G44" s="59"/>
      <c r="H44" s="31"/>
    </row>
    <row r="45" spans="2:8" ht="13.5" thickBot="1">
      <c r="B45" s="57"/>
      <c r="C45" s="57"/>
      <c r="D45" s="126" t="s">
        <v>323</v>
      </c>
      <c r="E45" s="127" t="s">
        <v>286</v>
      </c>
      <c r="F45" s="128" t="s">
        <v>324</v>
      </c>
      <c r="G45" s="60"/>
      <c r="H45" s="33"/>
    </row>
    <row r="46" spans="2:8" ht="6" customHeight="1" thickBot="1"/>
    <row r="47" spans="2:8" ht="13.5">
      <c r="B47" s="34" t="s">
        <v>325</v>
      </c>
      <c r="C47" s="55" t="s">
        <v>326</v>
      </c>
      <c r="D47" s="124" t="s">
        <v>304</v>
      </c>
      <c r="E47" s="125" t="s">
        <v>305</v>
      </c>
      <c r="F47" s="129" t="s">
        <v>306</v>
      </c>
      <c r="G47" s="152" t="s">
        <v>268</v>
      </c>
      <c r="H47" s="153" t="s">
        <v>307</v>
      </c>
    </row>
    <row r="48" spans="2:8">
      <c r="B48" s="151"/>
      <c r="C48" s="101" t="s">
        <v>327</v>
      </c>
      <c r="D48" s="142" t="s">
        <v>308</v>
      </c>
      <c r="E48" s="143" t="s">
        <v>286</v>
      </c>
      <c r="F48" s="144" t="s">
        <v>309</v>
      </c>
      <c r="G48" s="149"/>
      <c r="H48" s="150"/>
    </row>
    <row r="49" spans="2:8" ht="13.5" thickBot="1">
      <c r="B49" s="32"/>
      <c r="C49" s="57"/>
      <c r="D49" s="126" t="s">
        <v>328</v>
      </c>
      <c r="E49" s="127" t="s">
        <v>286</v>
      </c>
      <c r="F49" s="128" t="s">
        <v>329</v>
      </c>
      <c r="G49" s="60"/>
      <c r="H49" s="154"/>
    </row>
    <row r="50" spans="2:8" ht="6" customHeight="1" thickBot="1"/>
    <row r="51" spans="2:8" ht="13.5">
      <c r="B51" s="34" t="s">
        <v>331</v>
      </c>
      <c r="C51" s="55" t="s">
        <v>367</v>
      </c>
      <c r="D51" s="155" t="s">
        <v>304</v>
      </c>
      <c r="E51" s="156" t="s">
        <v>305</v>
      </c>
      <c r="F51" s="157" t="s">
        <v>306</v>
      </c>
      <c r="G51" s="130" t="s">
        <v>268</v>
      </c>
      <c r="H51" s="131" t="s">
        <v>307</v>
      </c>
    </row>
    <row r="52" spans="2:8" ht="13.5" thickBot="1">
      <c r="B52" s="123"/>
      <c r="C52" s="101" t="s">
        <v>368</v>
      </c>
      <c r="D52" s="158" t="s">
        <v>332</v>
      </c>
      <c r="E52" s="159" t="s">
        <v>222</v>
      </c>
      <c r="F52" s="160" t="s">
        <v>369</v>
      </c>
      <c r="G52" s="149"/>
      <c r="H52" s="150"/>
    </row>
    <row r="53" spans="2:8">
      <c r="B53" s="30"/>
      <c r="C53" s="101"/>
      <c r="D53" s="161" t="s">
        <v>333</v>
      </c>
      <c r="E53" s="162" t="s">
        <v>334</v>
      </c>
      <c r="F53" s="163" t="s">
        <v>335</v>
      </c>
      <c r="G53" s="149"/>
      <c r="H53" s="150"/>
    </row>
    <row r="54" spans="2:8">
      <c r="B54" s="30"/>
      <c r="C54" s="101"/>
      <c r="D54" s="175" t="s">
        <v>308</v>
      </c>
      <c r="E54" s="176" t="s">
        <v>286</v>
      </c>
      <c r="F54" s="177" t="s">
        <v>309</v>
      </c>
      <c r="G54" s="149"/>
      <c r="H54" s="150"/>
    </row>
    <row r="55" spans="2:8" ht="13.5" thickBot="1">
      <c r="B55" s="57"/>
      <c r="C55" s="57"/>
      <c r="D55" s="126" t="s">
        <v>370</v>
      </c>
      <c r="E55" s="127" t="s">
        <v>286</v>
      </c>
      <c r="F55" s="128" t="s">
        <v>371</v>
      </c>
      <c r="G55" s="132"/>
      <c r="H55" s="133"/>
    </row>
  </sheetData>
  <mergeCells count="2">
    <mergeCell ref="D9:F9"/>
    <mergeCell ref="G9:H9"/>
  </mergeCells>
  <phoneticPr fontId="5" type="noConversion"/>
  <pageMargins left="0.25" right="0.25" top="0.75" bottom="0.75" header="0.3" footer="0.3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_SQL"/>
  <dimension ref="A1:BT4711"/>
  <sheetViews>
    <sheetView workbookViewId="0">
      <selection activeCell="G12" sqref="G11:G12"/>
    </sheetView>
  </sheetViews>
  <sheetFormatPr defaultRowHeight="12.75"/>
  <cols>
    <col min="1" max="1" width="8.7109375" customWidth="1"/>
    <col min="2" max="2" width="8.140625" style="13" customWidth="1"/>
    <col min="3" max="3" width="2.42578125" style="13" customWidth="1"/>
    <col min="4" max="4" width="4" style="13" customWidth="1"/>
    <col min="5" max="5" width="29.140625" style="13" customWidth="1"/>
    <col min="6" max="6" width="9.28515625" style="13" customWidth="1"/>
    <col min="7" max="7" width="23.140625" style="13" customWidth="1"/>
    <col min="8" max="8" width="8.85546875" style="13" customWidth="1"/>
    <col min="9" max="9" width="12.28515625" style="13" customWidth="1"/>
    <col min="10" max="10" width="7" style="22" customWidth="1"/>
    <col min="11" max="11" width="8" style="13" customWidth="1"/>
    <col min="12" max="12" width="10.140625" style="13" customWidth="1"/>
    <col min="13" max="13" width="11.7109375" style="13" customWidth="1"/>
    <col min="14" max="14" width="11.42578125" style="13" customWidth="1"/>
    <col min="15" max="15" width="8.28515625" style="13" customWidth="1"/>
    <col min="16" max="16" width="8.42578125" style="13" customWidth="1"/>
    <col min="17" max="17" width="13.28515625" style="13" customWidth="1"/>
    <col min="18" max="18" width="12.28515625" style="13" customWidth="1"/>
    <col min="19" max="19" width="14.85546875" style="13" customWidth="1"/>
    <col min="20" max="20" width="12.28515625" style="13" customWidth="1"/>
    <col min="21" max="21" width="11.85546875" style="13" customWidth="1"/>
    <col min="22" max="22" width="14.140625" style="13" customWidth="1"/>
    <col min="23" max="23" width="13.42578125" style="13" customWidth="1"/>
    <col min="24" max="24" width="17.28515625" style="13" customWidth="1"/>
    <col min="25" max="26" width="11.28515625" style="13" customWidth="1"/>
    <col min="27" max="27" width="10.42578125" style="13" customWidth="1"/>
    <col min="28" max="28" width="14.42578125" style="13" customWidth="1"/>
    <col min="29" max="29" width="13.7109375" style="13" customWidth="1"/>
    <col min="30" max="30" width="17.5703125" style="13" customWidth="1"/>
    <col min="31" max="31" width="17.5703125" customWidth="1"/>
    <col min="32" max="32" width="13.42578125" customWidth="1"/>
    <col min="33" max="33" width="15.85546875" customWidth="1"/>
    <col min="34" max="34" width="12.5703125" customWidth="1"/>
    <col min="35" max="35" width="12" customWidth="1"/>
    <col min="36" max="36" width="13.140625" customWidth="1"/>
    <col min="37" max="37" width="12" customWidth="1"/>
    <col min="38" max="38" width="19.28515625" customWidth="1"/>
    <col min="39" max="40" width="12.5703125" customWidth="1"/>
    <col min="41" max="41" width="16.28515625" customWidth="1"/>
    <col min="42" max="42" width="12" customWidth="1"/>
    <col min="43" max="43" width="24" customWidth="1"/>
    <col min="44" max="44" width="12.5703125" customWidth="1"/>
    <col min="45" max="45" width="12.85546875" customWidth="1"/>
    <col min="46" max="46" width="16.5703125" customWidth="1"/>
    <col min="47" max="47" width="12" customWidth="1"/>
    <col min="48" max="48" width="24.28515625" customWidth="1"/>
    <col min="49" max="49" width="15" customWidth="1"/>
    <col min="50" max="50" width="11.5703125" customWidth="1"/>
    <col min="51" max="51" width="11.42578125" customWidth="1"/>
    <col min="52" max="52" width="12.85546875" customWidth="1"/>
    <col min="53" max="53" width="16.5703125" customWidth="1"/>
    <col min="54" max="54" width="11.5703125" customWidth="1"/>
    <col min="55" max="55" width="24.28515625" customWidth="1"/>
    <col min="56" max="56" width="18.85546875" customWidth="1"/>
    <col min="57" max="57" width="21" bestFit="1" customWidth="1"/>
    <col min="58" max="58" width="19.7109375" bestFit="1" customWidth="1"/>
    <col min="59" max="59" width="11.140625" bestFit="1" customWidth="1"/>
    <col min="60" max="60" width="12.5703125" bestFit="1" customWidth="1"/>
    <col min="61" max="61" width="16.28515625" bestFit="1" customWidth="1"/>
    <col min="62" max="62" width="11.28515625" bestFit="1" customWidth="1"/>
    <col min="63" max="63" width="24" bestFit="1" customWidth="1"/>
    <col min="64" max="64" width="11.42578125" bestFit="1" customWidth="1"/>
    <col min="65" max="65" width="12.85546875" bestFit="1" customWidth="1"/>
    <col min="66" max="66" width="16.5703125" bestFit="1" customWidth="1"/>
    <col min="67" max="67" width="11.5703125" bestFit="1" customWidth="1"/>
    <col min="68" max="68" width="24.28515625" bestFit="1" customWidth="1"/>
    <col min="69" max="69" width="15" bestFit="1" customWidth="1"/>
    <col min="70" max="70" width="9.28515625" bestFit="1" customWidth="1"/>
    <col min="71" max="71" width="18.85546875" bestFit="1" customWidth="1"/>
    <col min="72" max="72" width="12.5703125" bestFit="1" customWidth="1"/>
  </cols>
  <sheetData>
    <row r="1" spans="1:30" ht="13.5" thickBot="1">
      <c r="A1" s="3"/>
      <c r="B1" s="3"/>
      <c r="C1" s="3"/>
      <c r="D1" s="3"/>
      <c r="E1" s="3"/>
      <c r="F1" s="3"/>
      <c r="G1" s="3"/>
      <c r="H1" s="3"/>
      <c r="I1" s="3"/>
      <c r="J1" s="4"/>
      <c r="K1" s="3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ht="114" customHeight="1" thickBot="1">
      <c r="A2" s="7" t="s">
        <v>0</v>
      </c>
      <c r="B2" s="181" t="s">
        <v>373</v>
      </c>
      <c r="C2" s="182"/>
      <c r="D2" s="182"/>
      <c r="E2" s="183"/>
      <c r="F2" s="5"/>
      <c r="G2" s="5" t="s">
        <v>2</v>
      </c>
      <c r="H2" s="10" t="s">
        <v>5</v>
      </c>
      <c r="I2" s="5"/>
      <c r="J2" s="187" t="s">
        <v>287</v>
      </c>
      <c r="K2" s="188"/>
      <c r="L2" s="188"/>
      <c r="M2" s="188"/>
      <c r="N2" s="188"/>
      <c r="O2" s="189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ht="35.25" customHeight="1" thickBot="1">
      <c r="A3" s="9" t="s">
        <v>1</v>
      </c>
      <c r="B3" s="184" t="s">
        <v>372</v>
      </c>
      <c r="C3" s="185"/>
      <c r="D3" s="185"/>
      <c r="E3" s="185"/>
      <c r="F3" s="185"/>
      <c r="G3" s="185"/>
      <c r="H3" s="186"/>
      <c r="I3" s="6"/>
      <c r="J3" s="6"/>
      <c r="K3" s="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ht="3.95" customHeight="1">
      <c r="A4" s="3"/>
      <c r="B4" s="3"/>
      <c r="C4" s="3"/>
      <c r="D4" s="3"/>
      <c r="E4" s="3"/>
      <c r="F4" s="3"/>
      <c r="G4" s="3"/>
      <c r="H4" s="3"/>
      <c r="I4" s="3"/>
      <c r="J4" s="4"/>
      <c r="K4" s="3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12" customFormat="1">
      <c r="A5" s="11"/>
      <c r="B5" s="1" t="s">
        <v>374</v>
      </c>
      <c r="C5" s="1" t="s">
        <v>7</v>
      </c>
      <c r="D5" s="1" t="s">
        <v>375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8"/>
      <c r="B6" s="39">
        <v>42370</v>
      </c>
      <c r="C6">
        <v>1</v>
      </c>
      <c r="D6">
        <v>1.1000000000000001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>
      <c r="A7" s="8"/>
      <c r="B7" s="39">
        <v>42401</v>
      </c>
      <c r="C7">
        <v>2</v>
      </c>
      <c r="D7">
        <v>2.2000000000000002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>
      <c r="A8" s="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>
      <c r="A9" s="8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>
      <c r="A10" s="8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>
      <c r="A11" s="8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>
      <c r="A12" s="8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>
      <c r="A13" s="8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>
      <c r="A14" s="8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>
      <c r="A15" s="8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>
      <c r="A16" s="8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72">
      <c r="A17" s="8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72">
      <c r="A18" s="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72">
      <c r="A19" s="8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72">
      <c r="A20" s="8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72">
      <c r="A21" s="8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72">
      <c r="A22" s="8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</row>
    <row r="23" spans="1:72">
      <c r="A23" s="8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72">
      <c r="A24" s="8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72">
      <c r="A25" s="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72">
      <c r="A26" s="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72">
      <c r="A27" s="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72">
      <c r="A28" s="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72">
      <c r="A29" s="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72">
      <c r="A30" s="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72">
      <c r="A31" s="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72">
      <c r="A32" s="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>
      <c r="A33" s="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>
      <c r="A34" s="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>
      <c r="A35" s="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>
      <c r="A36" s="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>
      <c r="A37" s="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>
      <c r="A38" s="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>
      <c r="A39" s="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>
      <c r="A40" s="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>
      <c r="A41" s="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>
      <c r="A42" s="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>
      <c r="A43" s="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>
      <c r="A44" s="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>
      <c r="A45" s="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>
      <c r="A46" s="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>
      <c r="A47" s="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>
      <c r="A48" s="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>
      <c r="A49" s="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 s="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2:30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2:30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2:30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2:30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2:30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2:30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2:30">
      <c r="J71" s="13"/>
    </row>
    <row r="72" spans="2:30">
      <c r="J72" s="13"/>
    </row>
    <row r="73" spans="2:30">
      <c r="J73" s="13"/>
    </row>
    <row r="74" spans="2:30">
      <c r="J74" s="13"/>
    </row>
    <row r="75" spans="2:30">
      <c r="J75" s="13"/>
    </row>
    <row r="76" spans="2:30">
      <c r="J76" s="13"/>
    </row>
    <row r="77" spans="2:30">
      <c r="J77" s="13"/>
    </row>
    <row r="78" spans="2:30">
      <c r="J78" s="13"/>
    </row>
    <row r="79" spans="2:30">
      <c r="J79" s="13"/>
    </row>
    <row r="80" spans="2:30">
      <c r="J80" s="13"/>
    </row>
    <row r="81" spans="10:10">
      <c r="J81" s="13"/>
    </row>
    <row r="82" spans="10:10">
      <c r="J82" s="13"/>
    </row>
    <row r="83" spans="10:10">
      <c r="J83" s="13"/>
    </row>
    <row r="84" spans="10:10">
      <c r="J84" s="13"/>
    </row>
    <row r="85" spans="10:10">
      <c r="J85" s="13"/>
    </row>
    <row r="86" spans="10:10">
      <c r="J86" s="13"/>
    </row>
    <row r="87" spans="10:10">
      <c r="J87" s="13"/>
    </row>
    <row r="88" spans="10:10">
      <c r="J88" s="13"/>
    </row>
    <row r="89" spans="10:10">
      <c r="J89" s="13"/>
    </row>
    <row r="90" spans="10:10">
      <c r="J90" s="13"/>
    </row>
    <row r="91" spans="10:10">
      <c r="J91" s="13"/>
    </row>
    <row r="92" spans="10:10">
      <c r="J92" s="13"/>
    </row>
    <row r="93" spans="10:10">
      <c r="J93" s="13"/>
    </row>
    <row r="94" spans="10:10">
      <c r="J94" s="13"/>
    </row>
    <row r="95" spans="10:10">
      <c r="J95" s="13"/>
    </row>
    <row r="96" spans="10:10">
      <c r="J96" s="13"/>
    </row>
    <row r="97" spans="10:10">
      <c r="J97" s="13"/>
    </row>
    <row r="98" spans="10:10">
      <c r="J98" s="13"/>
    </row>
    <row r="99" spans="10:10">
      <c r="J99" s="13"/>
    </row>
    <row r="100" spans="10:10">
      <c r="J100" s="13"/>
    </row>
    <row r="101" spans="10:10">
      <c r="J101" s="13"/>
    </row>
    <row r="102" spans="10:10">
      <c r="J102" s="13"/>
    </row>
    <row r="103" spans="10:10">
      <c r="J103" s="13"/>
    </row>
    <row r="104" spans="10:10">
      <c r="J104" s="13"/>
    </row>
    <row r="105" spans="10:10">
      <c r="J105" s="13"/>
    </row>
    <row r="106" spans="10:10">
      <c r="J106" s="13"/>
    </row>
    <row r="107" spans="10:10">
      <c r="J107" s="13"/>
    </row>
    <row r="108" spans="10:10">
      <c r="J108" s="13"/>
    </row>
    <row r="109" spans="10:10">
      <c r="J109" s="13"/>
    </row>
    <row r="110" spans="10:10">
      <c r="J110" s="13"/>
    </row>
    <row r="111" spans="10:10">
      <c r="J111" s="13"/>
    </row>
    <row r="112" spans="10:10">
      <c r="J112" s="13"/>
    </row>
    <row r="113" spans="10:10">
      <c r="J113" s="13"/>
    </row>
    <row r="114" spans="10:10">
      <c r="J114" s="13"/>
    </row>
    <row r="115" spans="10:10">
      <c r="J115" s="13"/>
    </row>
    <row r="116" spans="10:10">
      <c r="J116" s="13"/>
    </row>
    <row r="117" spans="10:10">
      <c r="J117" s="13"/>
    </row>
    <row r="118" spans="10:10">
      <c r="J118" s="13"/>
    </row>
    <row r="119" spans="10:10">
      <c r="J119" s="13"/>
    </row>
    <row r="120" spans="10:10">
      <c r="J120" s="13"/>
    </row>
    <row r="121" spans="10:10">
      <c r="J121" s="13"/>
    </row>
    <row r="122" spans="10:10">
      <c r="J122" s="13"/>
    </row>
    <row r="123" spans="10:10">
      <c r="J123" s="13"/>
    </row>
    <row r="124" spans="10:10">
      <c r="J124" s="13"/>
    </row>
    <row r="125" spans="10:10">
      <c r="J125" s="13"/>
    </row>
    <row r="126" spans="10:10">
      <c r="J126" s="13"/>
    </row>
    <row r="127" spans="10:10">
      <c r="J127" s="13"/>
    </row>
    <row r="128" spans="10:10">
      <c r="J128" s="13"/>
    </row>
    <row r="129" spans="10:10">
      <c r="J129" s="13"/>
    </row>
    <row r="130" spans="10:10">
      <c r="J130" s="13"/>
    </row>
    <row r="131" spans="10:10">
      <c r="J131" s="13"/>
    </row>
    <row r="132" spans="10:10">
      <c r="J132" s="13"/>
    </row>
    <row r="133" spans="10:10">
      <c r="J133" s="13"/>
    </row>
    <row r="134" spans="10:10">
      <c r="J134" s="13"/>
    </row>
    <row r="135" spans="10:10">
      <c r="J135" s="13"/>
    </row>
    <row r="136" spans="10:10">
      <c r="J136" s="13"/>
    </row>
    <row r="137" spans="10:10">
      <c r="J137" s="13"/>
    </row>
    <row r="138" spans="10:10">
      <c r="J138" s="13"/>
    </row>
    <row r="139" spans="10:10">
      <c r="J139" s="13"/>
    </row>
    <row r="140" spans="10:10">
      <c r="J140" s="13"/>
    </row>
    <row r="141" spans="10:10">
      <c r="J141" s="13"/>
    </row>
    <row r="142" spans="10:10">
      <c r="J142" s="13"/>
    </row>
    <row r="143" spans="10:10">
      <c r="J143" s="13"/>
    </row>
    <row r="144" spans="10:10">
      <c r="J144" s="13"/>
    </row>
    <row r="145" spans="10:10">
      <c r="J145" s="13"/>
    </row>
    <row r="146" spans="10:10">
      <c r="J146" s="13"/>
    </row>
    <row r="147" spans="10:10">
      <c r="J147" s="13"/>
    </row>
    <row r="148" spans="10:10">
      <c r="J148" s="13"/>
    </row>
    <row r="149" spans="10:10">
      <c r="J149" s="13"/>
    </row>
    <row r="150" spans="10:10">
      <c r="J150" s="13"/>
    </row>
    <row r="151" spans="10:10">
      <c r="J151" s="13"/>
    </row>
    <row r="152" spans="10:10">
      <c r="J152" s="13"/>
    </row>
    <row r="153" spans="10:10">
      <c r="J153" s="13"/>
    </row>
    <row r="154" spans="10:10">
      <c r="J154" s="13"/>
    </row>
    <row r="155" spans="10:10">
      <c r="J155" s="13"/>
    </row>
    <row r="156" spans="10:10">
      <c r="J156" s="13"/>
    </row>
    <row r="157" spans="10:10">
      <c r="J157" s="13"/>
    </row>
    <row r="158" spans="10:10">
      <c r="J158" s="13"/>
    </row>
    <row r="159" spans="10:10">
      <c r="J159" s="13"/>
    </row>
    <row r="160" spans="10:10">
      <c r="J160" s="13"/>
    </row>
    <row r="161" spans="10:10">
      <c r="J161" s="13"/>
    </row>
    <row r="162" spans="10:10">
      <c r="J162" s="13"/>
    </row>
    <row r="163" spans="10:10">
      <c r="J163" s="13"/>
    </row>
    <row r="164" spans="10:10">
      <c r="J164" s="13"/>
    </row>
    <row r="165" spans="10:10">
      <c r="J165" s="13"/>
    </row>
    <row r="166" spans="10:10">
      <c r="J166" s="13"/>
    </row>
    <row r="167" spans="10:10">
      <c r="J167" s="13"/>
    </row>
    <row r="168" spans="10:10">
      <c r="J168" s="13"/>
    </row>
    <row r="169" spans="10:10">
      <c r="J169" s="13"/>
    </row>
    <row r="170" spans="10:10">
      <c r="J170" s="13"/>
    </row>
    <row r="171" spans="10:10">
      <c r="J171" s="13"/>
    </row>
    <row r="172" spans="10:10">
      <c r="J172" s="13"/>
    </row>
    <row r="173" spans="10:10">
      <c r="J173" s="13"/>
    </row>
    <row r="174" spans="10:10">
      <c r="J174" s="13"/>
    </row>
    <row r="175" spans="10:10">
      <c r="J175" s="13"/>
    </row>
    <row r="176" spans="10:10">
      <c r="J176" s="13"/>
    </row>
    <row r="177" spans="10:10">
      <c r="J177" s="13"/>
    </row>
    <row r="178" spans="10:10">
      <c r="J178" s="13"/>
    </row>
    <row r="179" spans="10:10">
      <c r="J179" s="13"/>
    </row>
    <row r="180" spans="10:10">
      <c r="J180" s="13"/>
    </row>
    <row r="181" spans="10:10">
      <c r="J181" s="13"/>
    </row>
    <row r="182" spans="10:10">
      <c r="J182" s="13"/>
    </row>
    <row r="183" spans="10:10">
      <c r="J183" s="13"/>
    </row>
    <row r="184" spans="10:10">
      <c r="J184" s="13"/>
    </row>
    <row r="185" spans="10:10">
      <c r="J185" s="13"/>
    </row>
    <row r="186" spans="10:10">
      <c r="J186" s="13"/>
    </row>
    <row r="187" spans="10:10">
      <c r="J187" s="13"/>
    </row>
    <row r="188" spans="10:10">
      <c r="J188" s="13"/>
    </row>
    <row r="189" spans="10:10">
      <c r="J189" s="13"/>
    </row>
    <row r="190" spans="10:10">
      <c r="J190" s="13"/>
    </row>
    <row r="191" spans="10:10">
      <c r="J191" s="13"/>
    </row>
    <row r="192" spans="10:10">
      <c r="J192" s="13"/>
    </row>
    <row r="193" spans="10:10">
      <c r="J193" s="13"/>
    </row>
    <row r="194" spans="10:10">
      <c r="J194" s="13"/>
    </row>
    <row r="195" spans="10:10">
      <c r="J195" s="13"/>
    </row>
    <row r="196" spans="10:10">
      <c r="J196" s="13"/>
    </row>
    <row r="197" spans="10:10">
      <c r="J197" s="13"/>
    </row>
    <row r="198" spans="10:10">
      <c r="J198" s="13"/>
    </row>
    <row r="199" spans="10:10">
      <c r="J199" s="13"/>
    </row>
    <row r="200" spans="10:10">
      <c r="J200" s="13"/>
    </row>
    <row r="201" spans="10:10">
      <c r="J201" s="13"/>
    </row>
    <row r="202" spans="10:10">
      <c r="J202" s="13"/>
    </row>
    <row r="203" spans="10:10">
      <c r="J203" s="13"/>
    </row>
    <row r="204" spans="10:10">
      <c r="J204" s="13"/>
    </row>
    <row r="205" spans="10:10">
      <c r="J205" s="13"/>
    </row>
    <row r="206" spans="10:10">
      <c r="J206" s="13"/>
    </row>
    <row r="207" spans="10:10">
      <c r="J207" s="13"/>
    </row>
    <row r="208" spans="10:10">
      <c r="J208" s="13"/>
    </row>
    <row r="209" spans="10:10">
      <c r="J209" s="13"/>
    </row>
    <row r="210" spans="10:10">
      <c r="J210" s="13"/>
    </row>
    <row r="211" spans="10:10">
      <c r="J211" s="13"/>
    </row>
    <row r="212" spans="10:10">
      <c r="J212" s="13"/>
    </row>
    <row r="213" spans="10:10">
      <c r="J213" s="13"/>
    </row>
    <row r="214" spans="10:10">
      <c r="J214" s="13"/>
    </row>
    <row r="215" spans="10:10">
      <c r="J215" s="13"/>
    </row>
    <row r="216" spans="10:10">
      <c r="J216" s="13"/>
    </row>
    <row r="217" spans="10:10">
      <c r="J217" s="13"/>
    </row>
    <row r="218" spans="10:10">
      <c r="J218" s="13"/>
    </row>
    <row r="219" spans="10:10">
      <c r="J219" s="13"/>
    </row>
    <row r="220" spans="10:10">
      <c r="J220" s="13"/>
    </row>
    <row r="221" spans="10:10">
      <c r="J221" s="13"/>
    </row>
    <row r="222" spans="10:10">
      <c r="J222" s="13"/>
    </row>
    <row r="223" spans="10:10">
      <c r="J223" s="13"/>
    </row>
    <row r="224" spans="10:10">
      <c r="J224" s="13"/>
    </row>
    <row r="225" spans="10:10">
      <c r="J225" s="13"/>
    </row>
    <row r="226" spans="10:10">
      <c r="J226" s="13"/>
    </row>
    <row r="227" spans="10:10">
      <c r="J227" s="13"/>
    </row>
    <row r="228" spans="10:10">
      <c r="J228" s="13"/>
    </row>
    <row r="229" spans="10:10">
      <c r="J229" s="13"/>
    </row>
    <row r="230" spans="10:10">
      <c r="J230" s="13"/>
    </row>
    <row r="231" spans="10:10">
      <c r="J231" s="13"/>
    </row>
    <row r="232" spans="10:10">
      <c r="J232" s="13"/>
    </row>
    <row r="233" spans="10:10">
      <c r="J233" s="13"/>
    </row>
    <row r="234" spans="10:10">
      <c r="J234" s="13"/>
    </row>
    <row r="235" spans="10:10">
      <c r="J235" s="13"/>
    </row>
    <row r="236" spans="10:10">
      <c r="J236" s="13"/>
    </row>
    <row r="237" spans="10:10">
      <c r="J237" s="13"/>
    </row>
    <row r="238" spans="10:10">
      <c r="J238" s="13"/>
    </row>
    <row r="239" spans="10:10">
      <c r="J239" s="13"/>
    </row>
    <row r="240" spans="10:10">
      <c r="J240" s="13"/>
    </row>
    <row r="241" spans="10:10">
      <c r="J241" s="13"/>
    </row>
    <row r="242" spans="10:10">
      <c r="J242" s="13"/>
    </row>
    <row r="243" spans="10:10">
      <c r="J243" s="13"/>
    </row>
    <row r="244" spans="10:10">
      <c r="J244" s="13"/>
    </row>
    <row r="245" spans="10:10">
      <c r="J245" s="13"/>
    </row>
    <row r="246" spans="10:10">
      <c r="J246" s="13"/>
    </row>
    <row r="247" spans="10:10">
      <c r="J247" s="13"/>
    </row>
    <row r="248" spans="10:10">
      <c r="J248" s="13"/>
    </row>
    <row r="249" spans="10:10">
      <c r="J249" s="13"/>
    </row>
    <row r="250" spans="10:10">
      <c r="J250" s="13"/>
    </row>
    <row r="251" spans="10:10">
      <c r="J251" s="13"/>
    </row>
    <row r="252" spans="10:10">
      <c r="J252" s="13"/>
    </row>
    <row r="253" spans="10:10">
      <c r="J253" s="13"/>
    </row>
    <row r="254" spans="10:10">
      <c r="J254" s="13"/>
    </row>
    <row r="255" spans="10:10">
      <c r="J255" s="13"/>
    </row>
    <row r="256" spans="10:10">
      <c r="J256" s="13"/>
    </row>
    <row r="257" spans="10:10">
      <c r="J257" s="13"/>
    </row>
    <row r="258" spans="10:10">
      <c r="J258" s="13"/>
    </row>
    <row r="259" spans="10:10">
      <c r="J259" s="13"/>
    </row>
    <row r="260" spans="10:10">
      <c r="J260" s="13"/>
    </row>
    <row r="261" spans="10:10">
      <c r="J261" s="13"/>
    </row>
    <row r="262" spans="10:10">
      <c r="J262" s="13"/>
    </row>
    <row r="263" spans="10:10">
      <c r="J263" s="13"/>
    </row>
    <row r="264" spans="10:10">
      <c r="J264" s="13"/>
    </row>
    <row r="265" spans="10:10">
      <c r="J265" s="13"/>
    </row>
    <row r="266" spans="10:10">
      <c r="J266" s="13"/>
    </row>
    <row r="267" spans="10:10">
      <c r="J267" s="13"/>
    </row>
    <row r="268" spans="10:10">
      <c r="J268" s="13"/>
    </row>
    <row r="269" spans="10:10">
      <c r="J269" s="13"/>
    </row>
    <row r="270" spans="10:10">
      <c r="J270" s="13"/>
    </row>
    <row r="271" spans="10:10">
      <c r="J271" s="13"/>
    </row>
    <row r="272" spans="10:10">
      <c r="J272" s="13"/>
    </row>
    <row r="273" spans="10:10">
      <c r="J273" s="13"/>
    </row>
    <row r="274" spans="10:10">
      <c r="J274" s="13"/>
    </row>
    <row r="275" spans="10:10">
      <c r="J275" s="13"/>
    </row>
    <row r="276" spans="10:10">
      <c r="J276" s="13"/>
    </row>
    <row r="277" spans="10:10">
      <c r="J277" s="13"/>
    </row>
    <row r="278" spans="10:10">
      <c r="J278" s="13"/>
    </row>
    <row r="279" spans="10:10">
      <c r="J279" s="13"/>
    </row>
    <row r="280" spans="10:10">
      <c r="J280" s="13"/>
    </row>
    <row r="281" spans="10:10">
      <c r="J281" s="13"/>
    </row>
    <row r="282" spans="10:10">
      <c r="J282" s="13"/>
    </row>
    <row r="283" spans="10:10">
      <c r="J283" s="13"/>
    </row>
    <row r="284" spans="10:10">
      <c r="J284" s="13"/>
    </row>
    <row r="285" spans="10:10">
      <c r="J285" s="13"/>
    </row>
    <row r="286" spans="10:10">
      <c r="J286" s="13"/>
    </row>
    <row r="287" spans="10:10">
      <c r="J287" s="13"/>
    </row>
    <row r="288" spans="10:10">
      <c r="J288" s="13"/>
    </row>
    <row r="289" spans="10:10">
      <c r="J289" s="13"/>
    </row>
    <row r="290" spans="10:10">
      <c r="J290" s="13"/>
    </row>
    <row r="291" spans="10:10">
      <c r="J291" s="13"/>
    </row>
    <row r="292" spans="10:10">
      <c r="J292" s="13"/>
    </row>
    <row r="293" spans="10:10">
      <c r="J293" s="13"/>
    </row>
    <row r="294" spans="10:10">
      <c r="J294" s="13"/>
    </row>
    <row r="295" spans="10:10">
      <c r="J295" s="13"/>
    </row>
    <row r="296" spans="10:10">
      <c r="J296" s="13"/>
    </row>
    <row r="297" spans="10:10">
      <c r="J297" s="13"/>
    </row>
    <row r="298" spans="10:10">
      <c r="J298" s="13"/>
    </row>
    <row r="299" spans="10:10">
      <c r="J299" s="13"/>
    </row>
    <row r="300" spans="10:10">
      <c r="J300" s="13"/>
    </row>
    <row r="301" spans="10:10">
      <c r="J301" s="13"/>
    </row>
    <row r="302" spans="10:10">
      <c r="J302" s="13"/>
    </row>
    <row r="303" spans="10:10">
      <c r="J303" s="13"/>
    </row>
    <row r="304" spans="10:10">
      <c r="J304" s="13"/>
    </row>
    <row r="305" spans="10:10">
      <c r="J305" s="13"/>
    </row>
    <row r="306" spans="10:10">
      <c r="J306" s="13"/>
    </row>
    <row r="307" spans="10:10">
      <c r="J307" s="13"/>
    </row>
    <row r="308" spans="10:10">
      <c r="J308" s="13"/>
    </row>
    <row r="309" spans="10:10">
      <c r="J309" s="13"/>
    </row>
    <row r="310" spans="10:10">
      <c r="J310" s="13"/>
    </row>
    <row r="311" spans="10:10">
      <c r="J311" s="13"/>
    </row>
    <row r="312" spans="10:10">
      <c r="J312" s="13"/>
    </row>
    <row r="313" spans="10:10">
      <c r="J313" s="13"/>
    </row>
    <row r="314" spans="10:10">
      <c r="J314" s="13"/>
    </row>
    <row r="315" spans="10:10">
      <c r="J315" s="13"/>
    </row>
    <row r="316" spans="10:10">
      <c r="J316" s="13"/>
    </row>
    <row r="317" spans="10:10">
      <c r="J317" s="13"/>
    </row>
    <row r="318" spans="10:10">
      <c r="J318" s="13"/>
    </row>
    <row r="319" spans="10:10">
      <c r="J319" s="13"/>
    </row>
    <row r="320" spans="10:10">
      <c r="J320" s="13"/>
    </row>
    <row r="321" spans="10:10">
      <c r="J321" s="13"/>
    </row>
    <row r="322" spans="10:10">
      <c r="J322" s="13"/>
    </row>
    <row r="323" spans="10:10">
      <c r="J323" s="13"/>
    </row>
    <row r="324" spans="10:10">
      <c r="J324" s="13"/>
    </row>
    <row r="325" spans="10:10">
      <c r="J325" s="13"/>
    </row>
    <row r="326" spans="10:10">
      <c r="J326" s="13"/>
    </row>
    <row r="327" spans="10:10">
      <c r="J327" s="13"/>
    </row>
    <row r="328" spans="10:10">
      <c r="J328" s="13"/>
    </row>
    <row r="329" spans="10:10">
      <c r="J329" s="13"/>
    </row>
    <row r="330" spans="10:10">
      <c r="J330" s="13"/>
    </row>
    <row r="331" spans="10:10">
      <c r="J331" s="13"/>
    </row>
    <row r="332" spans="10:10">
      <c r="J332" s="13"/>
    </row>
    <row r="333" spans="10:10">
      <c r="J333" s="13"/>
    </row>
    <row r="334" spans="10:10">
      <c r="J334" s="13"/>
    </row>
    <row r="335" spans="10:10">
      <c r="J335" s="13"/>
    </row>
    <row r="336" spans="10:10">
      <c r="J336" s="13"/>
    </row>
    <row r="337" spans="10:10">
      <c r="J337" s="13"/>
    </row>
    <row r="338" spans="10:10">
      <c r="J338" s="13"/>
    </row>
    <row r="339" spans="10:10">
      <c r="J339" s="13"/>
    </row>
    <row r="340" spans="10:10">
      <c r="J340" s="13"/>
    </row>
    <row r="341" spans="10:10">
      <c r="J341" s="13"/>
    </row>
    <row r="342" spans="10:10">
      <c r="J342" s="13"/>
    </row>
    <row r="343" spans="10:10">
      <c r="J343" s="13"/>
    </row>
    <row r="344" spans="10:10">
      <c r="J344" s="13"/>
    </row>
    <row r="345" spans="10:10">
      <c r="J345" s="13"/>
    </row>
    <row r="346" spans="10:10">
      <c r="J346" s="13"/>
    </row>
    <row r="347" spans="10:10">
      <c r="J347" s="13"/>
    </row>
    <row r="348" spans="10:10">
      <c r="J348" s="13"/>
    </row>
    <row r="349" spans="10:10">
      <c r="J349" s="13"/>
    </row>
    <row r="350" spans="10:10">
      <c r="J350" s="13"/>
    </row>
    <row r="351" spans="10:10">
      <c r="J351" s="13"/>
    </row>
    <row r="352" spans="10:10">
      <c r="J352" s="13"/>
    </row>
    <row r="353" spans="10:10">
      <c r="J353" s="13"/>
    </row>
    <row r="354" spans="10:10">
      <c r="J354" s="13"/>
    </row>
    <row r="355" spans="10:10">
      <c r="J355" s="13"/>
    </row>
    <row r="356" spans="10:10">
      <c r="J356" s="13"/>
    </row>
    <row r="357" spans="10:10">
      <c r="J357" s="13"/>
    </row>
    <row r="358" spans="10:10">
      <c r="J358" s="13"/>
    </row>
    <row r="359" spans="10:10">
      <c r="J359" s="13"/>
    </row>
    <row r="360" spans="10:10">
      <c r="J360" s="13"/>
    </row>
    <row r="361" spans="10:10">
      <c r="J361" s="13"/>
    </row>
    <row r="362" spans="10:10">
      <c r="J362" s="13"/>
    </row>
    <row r="363" spans="10:10">
      <c r="J363" s="13"/>
    </row>
    <row r="364" spans="10:10">
      <c r="J364" s="13"/>
    </row>
    <row r="365" spans="10:10">
      <c r="J365" s="13"/>
    </row>
    <row r="366" spans="10:10">
      <c r="J366" s="13"/>
    </row>
    <row r="367" spans="10:10">
      <c r="J367" s="13"/>
    </row>
    <row r="368" spans="10:10">
      <c r="J368" s="13"/>
    </row>
    <row r="369" spans="10:10">
      <c r="J369" s="13"/>
    </row>
    <row r="370" spans="10:10">
      <c r="J370" s="13"/>
    </row>
    <row r="371" spans="10:10">
      <c r="J371" s="13"/>
    </row>
    <row r="372" spans="10:10">
      <c r="J372" s="13"/>
    </row>
    <row r="373" spans="10:10">
      <c r="J373" s="13"/>
    </row>
    <row r="374" spans="10:10">
      <c r="J374" s="13"/>
    </row>
    <row r="375" spans="10:10">
      <c r="J375" s="13"/>
    </row>
    <row r="376" spans="10:10">
      <c r="J376" s="13"/>
    </row>
    <row r="377" spans="10:10">
      <c r="J377" s="13"/>
    </row>
    <row r="378" spans="10:10">
      <c r="J378" s="13"/>
    </row>
    <row r="379" spans="10:10">
      <c r="J379" s="13"/>
    </row>
    <row r="380" spans="10:10">
      <c r="J380" s="13"/>
    </row>
    <row r="381" spans="10:10">
      <c r="J381" s="13"/>
    </row>
    <row r="382" spans="10:10">
      <c r="J382" s="13"/>
    </row>
    <row r="383" spans="10:10">
      <c r="J383" s="13"/>
    </row>
    <row r="384" spans="10:10">
      <c r="J384" s="13"/>
    </row>
    <row r="385" spans="10:10">
      <c r="J385" s="13"/>
    </row>
    <row r="386" spans="10:10">
      <c r="J386" s="13"/>
    </row>
    <row r="387" spans="10:10">
      <c r="J387" s="13"/>
    </row>
    <row r="388" spans="10:10">
      <c r="J388" s="13"/>
    </row>
    <row r="389" spans="10:10">
      <c r="J389" s="13"/>
    </row>
    <row r="390" spans="10:10">
      <c r="J390" s="13"/>
    </row>
    <row r="391" spans="10:10">
      <c r="J391" s="13"/>
    </row>
    <row r="392" spans="10:10">
      <c r="J392" s="13"/>
    </row>
    <row r="393" spans="10:10">
      <c r="J393" s="13"/>
    </row>
    <row r="394" spans="10:10">
      <c r="J394" s="13"/>
    </row>
    <row r="395" spans="10:10">
      <c r="J395" s="13"/>
    </row>
    <row r="396" spans="10:10">
      <c r="J396" s="13"/>
    </row>
    <row r="397" spans="10:10">
      <c r="J397" s="13"/>
    </row>
    <row r="398" spans="10:10">
      <c r="J398" s="13"/>
    </row>
    <row r="399" spans="10:10">
      <c r="J399" s="13"/>
    </row>
    <row r="400" spans="10:10">
      <c r="J400" s="13"/>
    </row>
    <row r="401" spans="10:10">
      <c r="J401" s="13"/>
    </row>
    <row r="402" spans="10:10">
      <c r="J402" s="13"/>
    </row>
    <row r="403" spans="10:10">
      <c r="J403" s="13"/>
    </row>
    <row r="404" spans="10:10">
      <c r="J404" s="13"/>
    </row>
    <row r="405" spans="10:10">
      <c r="J405" s="13"/>
    </row>
    <row r="406" spans="10:10">
      <c r="J406" s="13"/>
    </row>
    <row r="407" spans="10:10">
      <c r="J407" s="13"/>
    </row>
    <row r="408" spans="10:10">
      <c r="J408" s="13"/>
    </row>
    <row r="409" spans="10:10">
      <c r="J409" s="13"/>
    </row>
    <row r="410" spans="10:10">
      <c r="J410" s="13"/>
    </row>
    <row r="411" spans="10:10">
      <c r="J411" s="13"/>
    </row>
    <row r="412" spans="10:10">
      <c r="J412" s="13"/>
    </row>
    <row r="413" spans="10:10">
      <c r="J413" s="13"/>
    </row>
    <row r="414" spans="10:10">
      <c r="J414" s="13"/>
    </row>
    <row r="415" spans="10:10">
      <c r="J415" s="13"/>
    </row>
    <row r="416" spans="10:10">
      <c r="J416" s="13"/>
    </row>
    <row r="417" spans="10:10">
      <c r="J417" s="13"/>
    </row>
    <row r="418" spans="10:10">
      <c r="J418" s="13"/>
    </row>
    <row r="419" spans="10:10">
      <c r="J419" s="13"/>
    </row>
    <row r="420" spans="10:10">
      <c r="J420" s="13"/>
    </row>
    <row r="421" spans="10:10">
      <c r="J421" s="13"/>
    </row>
    <row r="422" spans="10:10">
      <c r="J422" s="13"/>
    </row>
    <row r="423" spans="10:10">
      <c r="J423" s="13"/>
    </row>
    <row r="424" spans="10:10">
      <c r="J424" s="13"/>
    </row>
    <row r="425" spans="10:10">
      <c r="J425" s="13"/>
    </row>
    <row r="426" spans="10:10">
      <c r="J426" s="13"/>
    </row>
    <row r="427" spans="10:10">
      <c r="J427" s="13"/>
    </row>
    <row r="428" spans="10:10">
      <c r="J428" s="13"/>
    </row>
    <row r="429" spans="10:10">
      <c r="J429" s="13"/>
    </row>
    <row r="430" spans="10:10">
      <c r="J430" s="13"/>
    </row>
    <row r="431" spans="10:10">
      <c r="J431" s="13"/>
    </row>
    <row r="432" spans="10:10">
      <c r="J432" s="13"/>
    </row>
    <row r="433" spans="10:10">
      <c r="J433" s="13"/>
    </row>
    <row r="434" spans="10:10">
      <c r="J434" s="13"/>
    </row>
    <row r="435" spans="10:10">
      <c r="J435" s="13"/>
    </row>
    <row r="436" spans="10:10">
      <c r="J436" s="13"/>
    </row>
    <row r="437" spans="10:10">
      <c r="J437" s="13"/>
    </row>
    <row r="438" spans="10:10">
      <c r="J438" s="13"/>
    </row>
    <row r="439" spans="10:10">
      <c r="J439" s="13"/>
    </row>
    <row r="440" spans="10:10">
      <c r="J440" s="13"/>
    </row>
    <row r="441" spans="10:10">
      <c r="J441" s="13"/>
    </row>
    <row r="442" spans="10:10">
      <c r="J442" s="13"/>
    </row>
    <row r="443" spans="10:10">
      <c r="J443" s="13"/>
    </row>
    <row r="444" spans="10:10">
      <c r="J444" s="13"/>
    </row>
    <row r="445" spans="10:10">
      <c r="J445" s="13"/>
    </row>
    <row r="446" spans="10:10">
      <c r="J446" s="13"/>
    </row>
    <row r="447" spans="10:10">
      <c r="J447" s="13"/>
    </row>
    <row r="448" spans="10:10">
      <c r="J448" s="13"/>
    </row>
    <row r="449" spans="10:10">
      <c r="J449" s="13"/>
    </row>
    <row r="450" spans="10:10">
      <c r="J450" s="13"/>
    </row>
    <row r="451" spans="10:10">
      <c r="J451" s="13"/>
    </row>
    <row r="452" spans="10:10">
      <c r="J452" s="13"/>
    </row>
    <row r="453" spans="10:10">
      <c r="J453" s="13"/>
    </row>
    <row r="454" spans="10:10">
      <c r="J454" s="13"/>
    </row>
    <row r="455" spans="10:10">
      <c r="J455" s="13"/>
    </row>
    <row r="456" spans="10:10">
      <c r="J456" s="13"/>
    </row>
    <row r="457" spans="10:10">
      <c r="J457" s="13"/>
    </row>
    <row r="458" spans="10:10">
      <c r="J458" s="13"/>
    </row>
    <row r="459" spans="10:10">
      <c r="J459" s="13"/>
    </row>
    <row r="460" spans="10:10">
      <c r="J460" s="13"/>
    </row>
    <row r="461" spans="10:10">
      <c r="J461" s="13"/>
    </row>
    <row r="462" spans="10:10">
      <c r="J462" s="13"/>
    </row>
    <row r="463" spans="10:10">
      <c r="J463" s="13"/>
    </row>
    <row r="464" spans="10:10">
      <c r="J464" s="13"/>
    </row>
    <row r="465" spans="10:10">
      <c r="J465" s="13"/>
    </row>
    <row r="466" spans="10:10">
      <c r="J466" s="13"/>
    </row>
    <row r="467" spans="10:10">
      <c r="J467" s="13"/>
    </row>
    <row r="468" spans="10:10">
      <c r="J468" s="13"/>
    </row>
    <row r="469" spans="10:10">
      <c r="J469" s="13"/>
    </row>
    <row r="470" spans="10:10">
      <c r="J470" s="13"/>
    </row>
    <row r="471" spans="10:10">
      <c r="J471" s="13"/>
    </row>
    <row r="472" spans="10:10">
      <c r="J472" s="13"/>
    </row>
    <row r="473" spans="10:10">
      <c r="J473" s="13"/>
    </row>
    <row r="474" spans="10:10">
      <c r="J474" s="13"/>
    </row>
    <row r="475" spans="10:10">
      <c r="J475" s="13"/>
    </row>
    <row r="476" spans="10:10">
      <c r="J476" s="13"/>
    </row>
    <row r="477" spans="10:10">
      <c r="J477" s="13"/>
    </row>
    <row r="478" spans="10:10">
      <c r="J478" s="13"/>
    </row>
    <row r="479" spans="10:10">
      <c r="J479" s="13"/>
    </row>
    <row r="480" spans="10:10">
      <c r="J480" s="13"/>
    </row>
    <row r="481" spans="10:10">
      <c r="J481" s="13"/>
    </row>
    <row r="482" spans="10:10">
      <c r="J482" s="13"/>
    </row>
    <row r="483" spans="10:10">
      <c r="J483" s="13"/>
    </row>
    <row r="484" spans="10:10">
      <c r="J484" s="13"/>
    </row>
    <row r="485" spans="10:10">
      <c r="J485" s="13"/>
    </row>
    <row r="486" spans="10:10">
      <c r="J486" s="13"/>
    </row>
    <row r="487" spans="10:10">
      <c r="J487" s="13"/>
    </row>
    <row r="488" spans="10:10">
      <c r="J488" s="13"/>
    </row>
    <row r="489" spans="10:10">
      <c r="J489" s="13"/>
    </row>
    <row r="490" spans="10:10">
      <c r="J490" s="13"/>
    </row>
    <row r="491" spans="10:10">
      <c r="J491" s="13"/>
    </row>
    <row r="492" spans="10:10">
      <c r="J492" s="13"/>
    </row>
    <row r="493" spans="10:10">
      <c r="J493" s="13"/>
    </row>
    <row r="494" spans="10:10">
      <c r="J494" s="13"/>
    </row>
    <row r="495" spans="10:10">
      <c r="J495" s="13"/>
    </row>
    <row r="496" spans="10:10">
      <c r="J496" s="13"/>
    </row>
    <row r="497" spans="10:10">
      <c r="J497" s="13"/>
    </row>
    <row r="498" spans="10:10">
      <c r="J498" s="13"/>
    </row>
    <row r="499" spans="10:10">
      <c r="J499" s="13"/>
    </row>
    <row r="500" spans="10:10">
      <c r="J500" s="13"/>
    </row>
    <row r="501" spans="10:10">
      <c r="J501" s="13"/>
    </row>
    <row r="502" spans="10:10">
      <c r="J502" s="13"/>
    </row>
    <row r="503" spans="10:10">
      <c r="J503" s="13"/>
    </row>
    <row r="504" spans="10:10">
      <c r="J504" s="13"/>
    </row>
    <row r="505" spans="10:10">
      <c r="J505" s="13"/>
    </row>
    <row r="506" spans="10:10">
      <c r="J506" s="13"/>
    </row>
    <row r="507" spans="10:10">
      <c r="J507" s="13"/>
    </row>
    <row r="508" spans="10:10">
      <c r="J508" s="13"/>
    </row>
    <row r="509" spans="10:10">
      <c r="J509" s="13"/>
    </row>
    <row r="510" spans="10:10">
      <c r="J510" s="13"/>
    </row>
    <row r="511" spans="10:10">
      <c r="J511" s="13"/>
    </row>
    <row r="512" spans="10:10">
      <c r="J512" s="13"/>
    </row>
    <row r="513" spans="10:10">
      <c r="J513" s="13"/>
    </row>
    <row r="514" spans="10:10">
      <c r="J514" s="13"/>
    </row>
    <row r="515" spans="10:10">
      <c r="J515" s="13"/>
    </row>
    <row r="516" spans="10:10">
      <c r="J516" s="13"/>
    </row>
    <row r="517" spans="10:10">
      <c r="J517" s="13"/>
    </row>
    <row r="518" spans="10:10">
      <c r="J518" s="13"/>
    </row>
    <row r="519" spans="10:10">
      <c r="J519" s="13"/>
    </row>
    <row r="520" spans="10:10">
      <c r="J520" s="13"/>
    </row>
    <row r="521" spans="10:10">
      <c r="J521" s="13"/>
    </row>
    <row r="522" spans="10:10">
      <c r="J522" s="13"/>
    </row>
    <row r="523" spans="10:10">
      <c r="J523" s="13"/>
    </row>
    <row r="524" spans="10:10">
      <c r="J524" s="13"/>
    </row>
    <row r="525" spans="10:10">
      <c r="J525" s="13"/>
    </row>
    <row r="526" spans="10:10">
      <c r="J526" s="13"/>
    </row>
    <row r="527" spans="10:10">
      <c r="J527" s="13"/>
    </row>
    <row r="528" spans="10:10">
      <c r="J528" s="13"/>
    </row>
    <row r="529" spans="10:10">
      <c r="J529" s="13"/>
    </row>
    <row r="530" spans="10:10">
      <c r="J530" s="13"/>
    </row>
    <row r="531" spans="10:10">
      <c r="J531" s="13"/>
    </row>
    <row r="532" spans="10:10">
      <c r="J532" s="13"/>
    </row>
    <row r="533" spans="10:10">
      <c r="J533" s="13"/>
    </row>
    <row r="534" spans="10:10">
      <c r="J534" s="13"/>
    </row>
    <row r="535" spans="10:10">
      <c r="J535" s="13"/>
    </row>
    <row r="536" spans="10:10">
      <c r="J536" s="13"/>
    </row>
    <row r="537" spans="10:10">
      <c r="J537" s="13"/>
    </row>
    <row r="538" spans="10:10">
      <c r="J538" s="13"/>
    </row>
    <row r="539" spans="10:10">
      <c r="J539" s="13"/>
    </row>
    <row r="540" spans="10:10">
      <c r="J540" s="13"/>
    </row>
    <row r="541" spans="10:10">
      <c r="J541" s="13"/>
    </row>
    <row r="542" spans="10:10">
      <c r="J542" s="13"/>
    </row>
    <row r="543" spans="10:10">
      <c r="J543" s="13"/>
    </row>
    <row r="544" spans="10:10">
      <c r="J544" s="13"/>
    </row>
    <row r="545" spans="10:10">
      <c r="J545" s="13"/>
    </row>
    <row r="546" spans="10:10">
      <c r="J546" s="13"/>
    </row>
    <row r="547" spans="10:10">
      <c r="J547" s="13"/>
    </row>
    <row r="548" spans="10:10">
      <c r="J548" s="13"/>
    </row>
    <row r="549" spans="10:10">
      <c r="J549" s="13"/>
    </row>
    <row r="550" spans="10:10">
      <c r="J550" s="13"/>
    </row>
    <row r="551" spans="10:10">
      <c r="J551" s="13"/>
    </row>
    <row r="552" spans="10:10">
      <c r="J552" s="13"/>
    </row>
    <row r="553" spans="10:10">
      <c r="J553" s="13"/>
    </row>
    <row r="554" spans="10:10">
      <c r="J554" s="13"/>
    </row>
    <row r="555" spans="10:10">
      <c r="J555" s="13"/>
    </row>
    <row r="556" spans="10:10">
      <c r="J556" s="13"/>
    </row>
    <row r="557" spans="10:10">
      <c r="J557" s="13"/>
    </row>
    <row r="558" spans="10:10">
      <c r="J558" s="13"/>
    </row>
    <row r="559" spans="10:10">
      <c r="J559" s="13"/>
    </row>
    <row r="560" spans="10:10">
      <c r="J560" s="13"/>
    </row>
    <row r="561" spans="10:10">
      <c r="J561" s="13"/>
    </row>
    <row r="562" spans="10:10">
      <c r="J562" s="13"/>
    </row>
    <row r="563" spans="10:10">
      <c r="J563" s="13"/>
    </row>
    <row r="564" spans="10:10">
      <c r="J564" s="13"/>
    </row>
    <row r="565" spans="10:10">
      <c r="J565" s="13"/>
    </row>
    <row r="566" spans="10:10">
      <c r="J566" s="13"/>
    </row>
    <row r="567" spans="10:10">
      <c r="J567" s="13"/>
    </row>
    <row r="568" spans="10:10">
      <c r="J568" s="13"/>
    </row>
    <row r="569" spans="10:10">
      <c r="J569" s="13"/>
    </row>
    <row r="570" spans="10:10">
      <c r="J570" s="13"/>
    </row>
    <row r="571" spans="10:10">
      <c r="J571" s="13"/>
    </row>
    <row r="572" spans="10:10">
      <c r="J572" s="13"/>
    </row>
    <row r="573" spans="10:10">
      <c r="J573" s="13"/>
    </row>
    <row r="574" spans="10:10">
      <c r="J574" s="13"/>
    </row>
    <row r="575" spans="10:10">
      <c r="J575" s="13"/>
    </row>
    <row r="576" spans="10:10">
      <c r="J576" s="13"/>
    </row>
    <row r="577" spans="10:10">
      <c r="J577" s="13"/>
    </row>
    <row r="578" spans="10:10">
      <c r="J578" s="13"/>
    </row>
    <row r="579" spans="10:10">
      <c r="J579" s="13"/>
    </row>
    <row r="580" spans="10:10">
      <c r="J580" s="13"/>
    </row>
    <row r="581" spans="10:10">
      <c r="J581" s="13"/>
    </row>
    <row r="582" spans="10:10">
      <c r="J582" s="13"/>
    </row>
    <row r="583" spans="10:10">
      <c r="J583" s="13"/>
    </row>
    <row r="584" spans="10:10">
      <c r="J584" s="13"/>
    </row>
    <row r="585" spans="10:10">
      <c r="J585" s="13"/>
    </row>
    <row r="586" spans="10:10">
      <c r="J586" s="13"/>
    </row>
    <row r="587" spans="10:10">
      <c r="J587" s="13"/>
    </row>
    <row r="588" spans="10:10">
      <c r="J588" s="13"/>
    </row>
    <row r="589" spans="10:10">
      <c r="J589" s="13"/>
    </row>
    <row r="590" spans="10:10">
      <c r="J590" s="13"/>
    </row>
    <row r="591" spans="10:10">
      <c r="J591" s="13"/>
    </row>
    <row r="592" spans="10:10">
      <c r="J592" s="13"/>
    </row>
    <row r="593" spans="10:10">
      <c r="J593" s="13"/>
    </row>
    <row r="594" spans="10:10">
      <c r="J594" s="13"/>
    </row>
    <row r="595" spans="10:10">
      <c r="J595" s="13"/>
    </row>
    <row r="596" spans="10:10">
      <c r="J596" s="13"/>
    </row>
    <row r="597" spans="10:10">
      <c r="J597" s="13"/>
    </row>
    <row r="598" spans="10:10">
      <c r="J598" s="13"/>
    </row>
    <row r="599" spans="10:10">
      <c r="J599" s="13"/>
    </row>
    <row r="600" spans="10:10">
      <c r="J600" s="13"/>
    </row>
    <row r="601" spans="10:10">
      <c r="J601" s="13"/>
    </row>
    <row r="602" spans="10:10">
      <c r="J602" s="13"/>
    </row>
    <row r="603" spans="10:10">
      <c r="J603" s="13"/>
    </row>
    <row r="604" spans="10:10">
      <c r="J604" s="13"/>
    </row>
    <row r="605" spans="10:10">
      <c r="J605" s="13"/>
    </row>
    <row r="606" spans="10:10">
      <c r="J606" s="13"/>
    </row>
    <row r="607" spans="10:10">
      <c r="J607" s="13"/>
    </row>
    <row r="608" spans="10:10">
      <c r="J608" s="13"/>
    </row>
    <row r="609" spans="10:10">
      <c r="J609" s="13"/>
    </row>
    <row r="610" spans="10:10">
      <c r="J610" s="13"/>
    </row>
    <row r="611" spans="10:10">
      <c r="J611" s="13"/>
    </row>
    <row r="612" spans="10:10">
      <c r="J612" s="13"/>
    </row>
    <row r="613" spans="10:10">
      <c r="J613" s="13"/>
    </row>
    <row r="614" spans="10:10">
      <c r="J614" s="13"/>
    </row>
    <row r="615" spans="10:10">
      <c r="J615" s="13"/>
    </row>
    <row r="616" spans="10:10">
      <c r="J616" s="13"/>
    </row>
    <row r="617" spans="10:10">
      <c r="J617" s="13"/>
    </row>
    <row r="618" spans="10:10">
      <c r="J618" s="13"/>
    </row>
    <row r="619" spans="10:10">
      <c r="J619" s="13"/>
    </row>
    <row r="620" spans="10:10">
      <c r="J620" s="13"/>
    </row>
    <row r="621" spans="10:10">
      <c r="J621" s="13"/>
    </row>
    <row r="622" spans="10:10">
      <c r="J622" s="13"/>
    </row>
    <row r="623" spans="10:10">
      <c r="J623" s="13"/>
    </row>
    <row r="624" spans="10:10">
      <c r="J624" s="13"/>
    </row>
    <row r="625" spans="10:10">
      <c r="J625" s="13"/>
    </row>
    <row r="626" spans="10:10">
      <c r="J626" s="13"/>
    </row>
    <row r="627" spans="10:10">
      <c r="J627" s="13"/>
    </row>
    <row r="628" spans="10:10">
      <c r="J628" s="13"/>
    </row>
    <row r="629" spans="10:10">
      <c r="J629" s="13"/>
    </row>
    <row r="630" spans="10:10">
      <c r="J630" s="13"/>
    </row>
    <row r="631" spans="10:10">
      <c r="J631" s="13"/>
    </row>
    <row r="632" spans="10:10">
      <c r="J632" s="13"/>
    </row>
    <row r="633" spans="10:10">
      <c r="J633" s="13"/>
    </row>
    <row r="634" spans="10:10">
      <c r="J634" s="13"/>
    </row>
    <row r="635" spans="10:10">
      <c r="J635" s="13"/>
    </row>
    <row r="636" spans="10:10">
      <c r="J636" s="13"/>
    </row>
    <row r="637" spans="10:10">
      <c r="J637" s="13"/>
    </row>
    <row r="638" spans="10:10">
      <c r="J638" s="13"/>
    </row>
    <row r="639" spans="10:10">
      <c r="J639" s="13"/>
    </row>
    <row r="640" spans="10:10">
      <c r="J640" s="13"/>
    </row>
    <row r="641" spans="10:10">
      <c r="J641" s="13"/>
    </row>
    <row r="642" spans="10:10">
      <c r="J642" s="13"/>
    </row>
    <row r="643" spans="10:10">
      <c r="J643" s="13"/>
    </row>
    <row r="644" spans="10:10">
      <c r="J644" s="13"/>
    </row>
    <row r="645" spans="10:10">
      <c r="J645" s="13"/>
    </row>
    <row r="646" spans="10:10">
      <c r="J646" s="13"/>
    </row>
    <row r="647" spans="10:10">
      <c r="J647" s="13"/>
    </row>
    <row r="648" spans="10:10">
      <c r="J648" s="13"/>
    </row>
    <row r="649" spans="10:10">
      <c r="J649" s="13"/>
    </row>
    <row r="650" spans="10:10">
      <c r="J650" s="13"/>
    </row>
    <row r="651" spans="10:10">
      <c r="J651" s="13"/>
    </row>
    <row r="652" spans="10:10">
      <c r="J652" s="13"/>
    </row>
    <row r="653" spans="10:10">
      <c r="J653" s="13"/>
    </row>
    <row r="654" spans="10:10">
      <c r="J654" s="13"/>
    </row>
    <row r="655" spans="10:10">
      <c r="J655" s="13"/>
    </row>
    <row r="656" spans="10:10">
      <c r="J656" s="13"/>
    </row>
    <row r="657" spans="10:10">
      <c r="J657" s="13"/>
    </row>
    <row r="658" spans="10:10">
      <c r="J658" s="13"/>
    </row>
    <row r="659" spans="10:10">
      <c r="J659" s="13"/>
    </row>
    <row r="660" spans="10:10">
      <c r="J660" s="13"/>
    </row>
    <row r="661" spans="10:10">
      <c r="J661" s="13"/>
    </row>
    <row r="662" spans="10:10">
      <c r="J662" s="13"/>
    </row>
    <row r="663" spans="10:10">
      <c r="J663" s="13"/>
    </row>
    <row r="664" spans="10:10">
      <c r="J664" s="13"/>
    </row>
    <row r="665" spans="10:10">
      <c r="J665" s="13"/>
    </row>
    <row r="666" spans="10:10">
      <c r="J666" s="13"/>
    </row>
    <row r="667" spans="10:10">
      <c r="J667" s="13"/>
    </row>
    <row r="668" spans="10:10">
      <c r="J668" s="13"/>
    </row>
    <row r="669" spans="10:10">
      <c r="J669" s="13"/>
    </row>
    <row r="670" spans="10:10">
      <c r="J670" s="13"/>
    </row>
    <row r="671" spans="10:10">
      <c r="J671" s="13"/>
    </row>
    <row r="672" spans="10:10">
      <c r="J672" s="13"/>
    </row>
    <row r="673" spans="10:10">
      <c r="J673" s="13"/>
    </row>
    <row r="674" spans="10:10">
      <c r="J674" s="13"/>
    </row>
    <row r="675" spans="10:10">
      <c r="J675" s="13"/>
    </row>
    <row r="676" spans="10:10">
      <c r="J676" s="13"/>
    </row>
    <row r="677" spans="10:10">
      <c r="J677" s="13"/>
    </row>
    <row r="678" spans="10:10">
      <c r="J678" s="13"/>
    </row>
    <row r="679" spans="10:10">
      <c r="J679" s="13"/>
    </row>
    <row r="680" spans="10:10">
      <c r="J680" s="13"/>
    </row>
    <row r="681" spans="10:10">
      <c r="J681" s="13"/>
    </row>
    <row r="682" spans="10:10">
      <c r="J682" s="13"/>
    </row>
    <row r="683" spans="10:10">
      <c r="J683" s="13"/>
    </row>
    <row r="684" spans="10:10">
      <c r="J684" s="13"/>
    </row>
    <row r="685" spans="10:10">
      <c r="J685" s="13"/>
    </row>
    <row r="686" spans="10:10">
      <c r="J686" s="13"/>
    </row>
    <row r="687" spans="10:10">
      <c r="J687" s="13"/>
    </row>
    <row r="688" spans="10:10">
      <c r="J688" s="13"/>
    </row>
    <row r="689" spans="10:10">
      <c r="J689" s="13"/>
    </row>
    <row r="690" spans="10:10">
      <c r="J690" s="13"/>
    </row>
    <row r="691" spans="10:10">
      <c r="J691" s="13"/>
    </row>
    <row r="692" spans="10:10">
      <c r="J692" s="13"/>
    </row>
    <row r="693" spans="10:10">
      <c r="J693" s="13"/>
    </row>
    <row r="694" spans="10:10">
      <c r="J694" s="13"/>
    </row>
    <row r="695" spans="10:10">
      <c r="J695" s="13"/>
    </row>
    <row r="696" spans="10:10">
      <c r="J696" s="13"/>
    </row>
    <row r="697" spans="10:10">
      <c r="J697" s="13"/>
    </row>
    <row r="698" spans="10:10">
      <c r="J698" s="13"/>
    </row>
    <row r="699" spans="10:10">
      <c r="J699" s="13"/>
    </row>
    <row r="700" spans="10:10">
      <c r="J700" s="13"/>
    </row>
    <row r="701" spans="10:10">
      <c r="J701" s="13"/>
    </row>
    <row r="702" spans="10:10">
      <c r="J702" s="13"/>
    </row>
    <row r="703" spans="10:10">
      <c r="J703" s="13"/>
    </row>
    <row r="704" spans="10:10">
      <c r="J704" s="13"/>
    </row>
    <row r="705" spans="10:10">
      <c r="J705" s="13"/>
    </row>
    <row r="706" spans="10:10">
      <c r="J706" s="13"/>
    </row>
    <row r="707" spans="10:10">
      <c r="J707" s="13"/>
    </row>
    <row r="708" spans="10:10">
      <c r="J708" s="13"/>
    </row>
    <row r="709" spans="10:10">
      <c r="J709" s="13"/>
    </row>
    <row r="710" spans="10:10">
      <c r="J710" s="13"/>
    </row>
    <row r="711" spans="10:10">
      <c r="J711" s="13"/>
    </row>
    <row r="712" spans="10:10">
      <c r="J712" s="13"/>
    </row>
    <row r="713" spans="10:10">
      <c r="J713" s="13"/>
    </row>
    <row r="714" spans="10:10">
      <c r="J714" s="13"/>
    </row>
    <row r="715" spans="10:10">
      <c r="J715" s="13"/>
    </row>
    <row r="716" spans="10:10">
      <c r="J716" s="13"/>
    </row>
    <row r="717" spans="10:10">
      <c r="J717" s="13"/>
    </row>
    <row r="718" spans="10:10">
      <c r="J718" s="13"/>
    </row>
    <row r="719" spans="10:10">
      <c r="J719" s="13"/>
    </row>
    <row r="720" spans="10:10">
      <c r="J720" s="13"/>
    </row>
    <row r="721" spans="10:10">
      <c r="J721" s="13"/>
    </row>
    <row r="722" spans="10:10">
      <c r="J722" s="13"/>
    </row>
    <row r="723" spans="10:10">
      <c r="J723" s="13"/>
    </row>
    <row r="724" spans="10:10">
      <c r="J724" s="13"/>
    </row>
    <row r="725" spans="10:10">
      <c r="J725" s="13"/>
    </row>
    <row r="726" spans="10:10">
      <c r="J726" s="13"/>
    </row>
    <row r="727" spans="10:10">
      <c r="J727" s="13"/>
    </row>
    <row r="728" spans="10:10">
      <c r="J728" s="13"/>
    </row>
    <row r="729" spans="10:10">
      <c r="J729" s="13"/>
    </row>
    <row r="730" spans="10:10">
      <c r="J730" s="13"/>
    </row>
    <row r="731" spans="10:10">
      <c r="J731" s="13"/>
    </row>
    <row r="732" spans="10:10">
      <c r="J732" s="13"/>
    </row>
    <row r="733" spans="10:10">
      <c r="J733" s="13"/>
    </row>
    <row r="734" spans="10:10">
      <c r="J734" s="13"/>
    </row>
    <row r="735" spans="10:10">
      <c r="J735" s="13"/>
    </row>
    <row r="736" spans="10:10">
      <c r="J736" s="13"/>
    </row>
    <row r="737" spans="10:10">
      <c r="J737" s="13"/>
    </row>
    <row r="738" spans="10:10">
      <c r="J738" s="13"/>
    </row>
    <row r="739" spans="10:10">
      <c r="J739" s="13"/>
    </row>
    <row r="740" spans="10:10">
      <c r="J740" s="13"/>
    </row>
    <row r="741" spans="10:10">
      <c r="J741" s="13"/>
    </row>
    <row r="742" spans="10:10">
      <c r="J742" s="13"/>
    </row>
    <row r="743" spans="10:10">
      <c r="J743" s="13"/>
    </row>
    <row r="744" spans="10:10">
      <c r="J744" s="13"/>
    </row>
    <row r="745" spans="10:10">
      <c r="J745" s="13"/>
    </row>
    <row r="746" spans="10:10">
      <c r="J746" s="13"/>
    </row>
    <row r="747" spans="10:10">
      <c r="J747" s="13"/>
    </row>
    <row r="748" spans="10:10">
      <c r="J748" s="13"/>
    </row>
    <row r="749" spans="10:10">
      <c r="J749" s="13"/>
    </row>
    <row r="750" spans="10:10">
      <c r="J750" s="13"/>
    </row>
    <row r="751" spans="10:10">
      <c r="J751" s="13"/>
    </row>
    <row r="752" spans="10:10">
      <c r="J752" s="13"/>
    </row>
    <row r="753" spans="10:10">
      <c r="J753" s="13"/>
    </row>
    <row r="754" spans="10:10">
      <c r="J754" s="13"/>
    </row>
    <row r="755" spans="10:10">
      <c r="J755" s="13"/>
    </row>
    <row r="756" spans="10:10">
      <c r="J756" s="13"/>
    </row>
    <row r="757" spans="10:10">
      <c r="J757" s="13"/>
    </row>
    <row r="758" spans="10:10">
      <c r="J758" s="13"/>
    </row>
    <row r="759" spans="10:10">
      <c r="J759" s="13"/>
    </row>
    <row r="760" spans="10:10">
      <c r="J760" s="13"/>
    </row>
    <row r="761" spans="10:10">
      <c r="J761" s="13"/>
    </row>
    <row r="762" spans="10:10">
      <c r="J762" s="13"/>
    </row>
    <row r="763" spans="10:10">
      <c r="J763" s="13"/>
    </row>
    <row r="764" spans="10:10">
      <c r="J764" s="13"/>
    </row>
    <row r="765" spans="10:10">
      <c r="J765" s="13"/>
    </row>
    <row r="766" spans="10:10">
      <c r="J766" s="13"/>
    </row>
    <row r="767" spans="10:10">
      <c r="J767" s="13"/>
    </row>
    <row r="768" spans="10:10">
      <c r="J768" s="13"/>
    </row>
    <row r="769" spans="10:10">
      <c r="J769" s="13"/>
    </row>
    <row r="770" spans="10:10">
      <c r="J770" s="13"/>
    </row>
    <row r="771" spans="10:10">
      <c r="J771" s="13"/>
    </row>
    <row r="772" spans="10:10">
      <c r="J772" s="13"/>
    </row>
    <row r="773" spans="10:10">
      <c r="J773" s="13"/>
    </row>
    <row r="774" spans="10:10">
      <c r="J774" s="13"/>
    </row>
    <row r="775" spans="10:10">
      <c r="J775" s="13"/>
    </row>
    <row r="776" spans="10:10">
      <c r="J776" s="13"/>
    </row>
    <row r="777" spans="10:10">
      <c r="J777" s="13"/>
    </row>
    <row r="778" spans="10:10">
      <c r="J778" s="13"/>
    </row>
    <row r="779" spans="10:10">
      <c r="J779" s="13"/>
    </row>
    <row r="780" spans="10:10">
      <c r="J780" s="13"/>
    </row>
    <row r="781" spans="10:10">
      <c r="J781" s="13"/>
    </row>
    <row r="782" spans="10:10">
      <c r="J782" s="13"/>
    </row>
    <row r="783" spans="10:10">
      <c r="J783" s="13"/>
    </row>
    <row r="784" spans="10:10">
      <c r="J784" s="13"/>
    </row>
    <row r="785" spans="10:10">
      <c r="J785" s="13"/>
    </row>
    <row r="786" spans="10:10">
      <c r="J786" s="13"/>
    </row>
    <row r="787" spans="10:10">
      <c r="J787" s="13"/>
    </row>
    <row r="788" spans="10:10">
      <c r="J788" s="13"/>
    </row>
    <row r="789" spans="10:10">
      <c r="J789" s="13"/>
    </row>
    <row r="790" spans="10:10">
      <c r="J790" s="13"/>
    </row>
    <row r="791" spans="10:10">
      <c r="J791" s="13"/>
    </row>
    <row r="792" spans="10:10">
      <c r="J792" s="13"/>
    </row>
    <row r="793" spans="10:10">
      <c r="J793" s="13"/>
    </row>
    <row r="794" spans="10:10">
      <c r="J794" s="13"/>
    </row>
    <row r="795" spans="10:10">
      <c r="J795" s="13"/>
    </row>
    <row r="796" spans="10:10">
      <c r="J796" s="13"/>
    </row>
    <row r="797" spans="10:10">
      <c r="J797" s="13"/>
    </row>
    <row r="798" spans="10:10">
      <c r="J798" s="13"/>
    </row>
    <row r="799" spans="10:10">
      <c r="J799" s="13"/>
    </row>
    <row r="800" spans="10:10">
      <c r="J800" s="13"/>
    </row>
    <row r="801" spans="10:10">
      <c r="J801" s="13"/>
    </row>
    <row r="802" spans="10:10">
      <c r="J802" s="13"/>
    </row>
    <row r="803" spans="10:10">
      <c r="J803" s="13"/>
    </row>
    <row r="804" spans="10:10">
      <c r="J804" s="13"/>
    </row>
    <row r="805" spans="10:10">
      <c r="J805" s="13"/>
    </row>
    <row r="806" spans="10:10">
      <c r="J806" s="13"/>
    </row>
    <row r="807" spans="10:10">
      <c r="J807" s="13"/>
    </row>
    <row r="808" spans="10:10">
      <c r="J808" s="13"/>
    </row>
    <row r="809" spans="10:10">
      <c r="J809" s="13"/>
    </row>
    <row r="810" spans="10:10">
      <c r="J810" s="13"/>
    </row>
    <row r="811" spans="10:10">
      <c r="J811" s="13"/>
    </row>
    <row r="812" spans="10:10">
      <c r="J812" s="13"/>
    </row>
    <row r="813" spans="10:10">
      <c r="J813" s="13"/>
    </row>
    <row r="814" spans="10:10">
      <c r="J814" s="13"/>
    </row>
    <row r="815" spans="10:10">
      <c r="J815" s="13"/>
    </row>
    <row r="816" spans="10:10">
      <c r="J816" s="13"/>
    </row>
    <row r="817" spans="10:10">
      <c r="J817" s="13"/>
    </row>
    <row r="818" spans="10:10">
      <c r="J818" s="13"/>
    </row>
    <row r="819" spans="10:10">
      <c r="J819" s="13"/>
    </row>
    <row r="820" spans="10:10">
      <c r="J820" s="13"/>
    </row>
    <row r="821" spans="10:10">
      <c r="J821" s="13"/>
    </row>
    <row r="822" spans="10:10">
      <c r="J822" s="13"/>
    </row>
    <row r="823" spans="10:10">
      <c r="J823" s="13"/>
    </row>
    <row r="824" spans="10:10">
      <c r="J824" s="13"/>
    </row>
    <row r="825" spans="10:10">
      <c r="J825" s="13"/>
    </row>
    <row r="826" spans="10:10">
      <c r="J826" s="13"/>
    </row>
    <row r="827" spans="10:10">
      <c r="J827" s="13"/>
    </row>
    <row r="828" spans="10:10">
      <c r="J828" s="13"/>
    </row>
    <row r="829" spans="10:10">
      <c r="J829" s="13"/>
    </row>
    <row r="830" spans="10:10">
      <c r="J830" s="13"/>
    </row>
    <row r="831" spans="10:10">
      <c r="J831" s="13"/>
    </row>
    <row r="832" spans="10:10">
      <c r="J832" s="13"/>
    </row>
    <row r="833" spans="10:10">
      <c r="J833" s="13"/>
    </row>
    <row r="834" spans="10:10">
      <c r="J834" s="13"/>
    </row>
    <row r="835" spans="10:10">
      <c r="J835" s="13"/>
    </row>
    <row r="836" spans="10:10">
      <c r="J836" s="13"/>
    </row>
    <row r="837" spans="10:10">
      <c r="J837" s="13"/>
    </row>
    <row r="838" spans="10:10">
      <c r="J838" s="13"/>
    </row>
    <row r="839" spans="10:10">
      <c r="J839" s="13"/>
    </row>
    <row r="840" spans="10:10">
      <c r="J840" s="13"/>
    </row>
    <row r="841" spans="10:10">
      <c r="J841" s="13"/>
    </row>
    <row r="842" spans="10:10">
      <c r="J842" s="13"/>
    </row>
    <row r="843" spans="10:10">
      <c r="J843" s="13"/>
    </row>
    <row r="844" spans="10:10">
      <c r="J844" s="13"/>
    </row>
    <row r="845" spans="10:10">
      <c r="J845" s="13"/>
    </row>
    <row r="846" spans="10:10">
      <c r="J846" s="13"/>
    </row>
    <row r="847" spans="10:10">
      <c r="J847" s="13"/>
    </row>
    <row r="848" spans="10:10">
      <c r="J848" s="13"/>
    </row>
    <row r="849" spans="10:10">
      <c r="J849" s="13"/>
    </row>
    <row r="850" spans="10:10">
      <c r="J850" s="13"/>
    </row>
    <row r="851" spans="10:10">
      <c r="J851" s="13"/>
    </row>
    <row r="852" spans="10:10">
      <c r="J852" s="13"/>
    </row>
    <row r="853" spans="10:10">
      <c r="J853" s="13"/>
    </row>
    <row r="854" spans="10:10">
      <c r="J854" s="13"/>
    </row>
    <row r="855" spans="10:10">
      <c r="J855" s="13"/>
    </row>
    <row r="856" spans="10:10">
      <c r="J856" s="13"/>
    </row>
    <row r="857" spans="10:10">
      <c r="J857" s="13"/>
    </row>
    <row r="858" spans="10:10">
      <c r="J858" s="13"/>
    </row>
    <row r="859" spans="10:10">
      <c r="J859" s="13"/>
    </row>
    <row r="860" spans="10:10">
      <c r="J860" s="13"/>
    </row>
    <row r="861" spans="10:10">
      <c r="J861" s="13"/>
    </row>
    <row r="862" spans="10:10">
      <c r="J862" s="13"/>
    </row>
    <row r="863" spans="10:10">
      <c r="J863" s="13"/>
    </row>
    <row r="864" spans="10:10">
      <c r="J864" s="13"/>
    </row>
    <row r="865" spans="10:10">
      <c r="J865" s="13"/>
    </row>
    <row r="866" spans="10:10">
      <c r="J866" s="13"/>
    </row>
    <row r="867" spans="10:10">
      <c r="J867" s="13"/>
    </row>
    <row r="868" spans="10:10">
      <c r="J868" s="13"/>
    </row>
    <row r="869" spans="10:10">
      <c r="J869" s="13"/>
    </row>
    <row r="870" spans="10:10">
      <c r="J870" s="13"/>
    </row>
    <row r="871" spans="10:10">
      <c r="J871" s="13"/>
    </row>
    <row r="872" spans="10:10">
      <c r="J872" s="13"/>
    </row>
    <row r="873" spans="10:10">
      <c r="J873" s="13"/>
    </row>
    <row r="874" spans="10:10">
      <c r="J874" s="13"/>
    </row>
    <row r="875" spans="10:10">
      <c r="J875" s="13"/>
    </row>
    <row r="876" spans="10:10">
      <c r="J876" s="13"/>
    </row>
    <row r="877" spans="10:10">
      <c r="J877" s="13"/>
    </row>
    <row r="878" spans="10:10">
      <c r="J878" s="13"/>
    </row>
    <row r="879" spans="10:10">
      <c r="J879" s="13"/>
    </row>
    <row r="880" spans="10:10">
      <c r="J880" s="13"/>
    </row>
    <row r="881" spans="10:10">
      <c r="J881" s="13"/>
    </row>
    <row r="882" spans="10:10">
      <c r="J882" s="13"/>
    </row>
    <row r="883" spans="10:10">
      <c r="J883" s="13"/>
    </row>
    <row r="884" spans="10:10">
      <c r="J884" s="13"/>
    </row>
    <row r="885" spans="10:10">
      <c r="J885" s="13"/>
    </row>
    <row r="886" spans="10:10">
      <c r="J886" s="13"/>
    </row>
    <row r="887" spans="10:10">
      <c r="J887" s="13"/>
    </row>
    <row r="888" spans="10:10">
      <c r="J888" s="13"/>
    </row>
    <row r="889" spans="10:10">
      <c r="J889" s="13"/>
    </row>
    <row r="890" spans="10:10">
      <c r="J890" s="13"/>
    </row>
    <row r="891" spans="10:10">
      <c r="J891" s="13"/>
    </row>
    <row r="892" spans="10:10">
      <c r="J892" s="13"/>
    </row>
    <row r="893" spans="10:10">
      <c r="J893" s="13"/>
    </row>
    <row r="894" spans="10:10">
      <c r="J894" s="13"/>
    </row>
    <row r="895" spans="10:10">
      <c r="J895" s="13"/>
    </row>
    <row r="896" spans="10:10">
      <c r="J896" s="13"/>
    </row>
    <row r="897" spans="10:10">
      <c r="J897" s="13"/>
    </row>
    <row r="898" spans="10:10">
      <c r="J898" s="13"/>
    </row>
    <row r="899" spans="10:10">
      <c r="J899" s="13"/>
    </row>
    <row r="900" spans="10:10">
      <c r="J900" s="13"/>
    </row>
    <row r="901" spans="10:10">
      <c r="J901" s="13"/>
    </row>
    <row r="902" spans="10:10">
      <c r="J902" s="13"/>
    </row>
    <row r="903" spans="10:10">
      <c r="J903" s="13"/>
    </row>
    <row r="904" spans="10:10">
      <c r="J904" s="13"/>
    </row>
    <row r="905" spans="10:10">
      <c r="J905" s="13"/>
    </row>
    <row r="906" spans="10:10">
      <c r="J906" s="13"/>
    </row>
    <row r="907" spans="10:10">
      <c r="J907" s="13"/>
    </row>
    <row r="908" spans="10:10">
      <c r="J908" s="13"/>
    </row>
    <row r="909" spans="10:10">
      <c r="J909" s="13"/>
    </row>
    <row r="910" spans="10:10">
      <c r="J910" s="13"/>
    </row>
    <row r="911" spans="10:10">
      <c r="J911" s="13"/>
    </row>
    <row r="912" spans="10:10">
      <c r="J912" s="13"/>
    </row>
    <row r="913" spans="10:10">
      <c r="J913" s="13"/>
    </row>
    <row r="914" spans="10:10">
      <c r="J914" s="13"/>
    </row>
    <row r="915" spans="10:10">
      <c r="J915" s="13"/>
    </row>
    <row r="916" spans="10:10">
      <c r="J916" s="13"/>
    </row>
    <row r="917" spans="10:10">
      <c r="J917" s="13"/>
    </row>
    <row r="918" spans="10:10">
      <c r="J918" s="13"/>
    </row>
    <row r="919" spans="10:10">
      <c r="J919" s="13"/>
    </row>
    <row r="920" spans="10:10">
      <c r="J920" s="13"/>
    </row>
    <row r="921" spans="10:10">
      <c r="J921" s="13"/>
    </row>
    <row r="922" spans="10:10">
      <c r="J922" s="13"/>
    </row>
    <row r="923" spans="10:10">
      <c r="J923" s="13"/>
    </row>
    <row r="924" spans="10:10">
      <c r="J924" s="13"/>
    </row>
    <row r="925" spans="10:10">
      <c r="J925" s="13"/>
    </row>
    <row r="926" spans="10:10">
      <c r="J926" s="13"/>
    </row>
    <row r="927" spans="10:10">
      <c r="J927" s="13"/>
    </row>
    <row r="928" spans="10:10">
      <c r="J928" s="13"/>
    </row>
    <row r="929" spans="10:10">
      <c r="J929" s="13"/>
    </row>
    <row r="930" spans="10:10">
      <c r="J930" s="13"/>
    </row>
    <row r="931" spans="10:10">
      <c r="J931" s="13"/>
    </row>
    <row r="932" spans="10:10">
      <c r="J932" s="13"/>
    </row>
    <row r="933" spans="10:10">
      <c r="J933" s="13"/>
    </row>
    <row r="934" spans="10:10">
      <c r="J934" s="13"/>
    </row>
    <row r="935" spans="10:10">
      <c r="J935" s="13"/>
    </row>
    <row r="936" spans="10:10">
      <c r="J936" s="13"/>
    </row>
    <row r="937" spans="10:10">
      <c r="J937" s="13"/>
    </row>
    <row r="938" spans="10:10">
      <c r="J938" s="13"/>
    </row>
    <row r="939" spans="10:10">
      <c r="J939" s="13"/>
    </row>
    <row r="940" spans="10:10">
      <c r="J940" s="13"/>
    </row>
    <row r="941" spans="10:10">
      <c r="J941" s="13"/>
    </row>
    <row r="942" spans="10:10">
      <c r="J942" s="13"/>
    </row>
    <row r="943" spans="10:10">
      <c r="J943" s="13"/>
    </row>
    <row r="944" spans="10:10">
      <c r="J944" s="13"/>
    </row>
    <row r="945" spans="10:10">
      <c r="J945" s="13"/>
    </row>
    <row r="946" spans="10:10">
      <c r="J946" s="13"/>
    </row>
    <row r="947" spans="10:10">
      <c r="J947" s="13"/>
    </row>
    <row r="948" spans="10:10">
      <c r="J948" s="13"/>
    </row>
    <row r="949" spans="10:10">
      <c r="J949" s="13"/>
    </row>
    <row r="950" spans="10:10">
      <c r="J950" s="13"/>
    </row>
    <row r="951" spans="10:10">
      <c r="J951" s="13"/>
    </row>
    <row r="952" spans="10:10">
      <c r="J952" s="13"/>
    </row>
    <row r="953" spans="10:10">
      <c r="J953" s="13"/>
    </row>
    <row r="954" spans="10:10">
      <c r="J954" s="13"/>
    </row>
    <row r="955" spans="10:10">
      <c r="J955" s="13"/>
    </row>
    <row r="956" spans="10:10">
      <c r="J956" s="13"/>
    </row>
    <row r="957" spans="10:10">
      <c r="J957" s="13"/>
    </row>
    <row r="958" spans="10:10">
      <c r="J958" s="13"/>
    </row>
    <row r="959" spans="10:10">
      <c r="J959" s="13"/>
    </row>
    <row r="960" spans="10:10">
      <c r="J960" s="13"/>
    </row>
    <row r="961" spans="10:10">
      <c r="J961" s="13"/>
    </row>
    <row r="962" spans="10:10">
      <c r="J962" s="13"/>
    </row>
    <row r="963" spans="10:10">
      <c r="J963" s="13"/>
    </row>
    <row r="964" spans="10:10">
      <c r="J964" s="13"/>
    </row>
    <row r="965" spans="10:10">
      <c r="J965" s="13"/>
    </row>
    <row r="966" spans="10:10">
      <c r="J966" s="13"/>
    </row>
    <row r="967" spans="10:10">
      <c r="J967" s="13"/>
    </row>
    <row r="968" spans="10:10">
      <c r="J968" s="13"/>
    </row>
    <row r="969" spans="10:10">
      <c r="J969" s="13"/>
    </row>
    <row r="970" spans="10:10">
      <c r="J970" s="13"/>
    </row>
    <row r="971" spans="10:10">
      <c r="J971" s="13"/>
    </row>
    <row r="972" spans="10:10">
      <c r="J972" s="13"/>
    </row>
    <row r="973" spans="10:10">
      <c r="J973" s="13"/>
    </row>
    <row r="974" spans="10:10">
      <c r="J974" s="13"/>
    </row>
    <row r="975" spans="10:10">
      <c r="J975" s="13"/>
    </row>
    <row r="976" spans="10:10">
      <c r="J976" s="13"/>
    </row>
    <row r="977" spans="10:10">
      <c r="J977" s="13"/>
    </row>
    <row r="978" spans="10:10">
      <c r="J978" s="13"/>
    </row>
    <row r="979" spans="10:10">
      <c r="J979" s="13"/>
    </row>
    <row r="980" spans="10:10">
      <c r="J980" s="13"/>
    </row>
    <row r="981" spans="10:10">
      <c r="J981" s="13"/>
    </row>
    <row r="982" spans="10:10">
      <c r="J982" s="13"/>
    </row>
    <row r="983" spans="10:10">
      <c r="J983" s="13"/>
    </row>
    <row r="984" spans="10:10">
      <c r="J984" s="13"/>
    </row>
    <row r="985" spans="10:10">
      <c r="J985" s="13"/>
    </row>
    <row r="986" spans="10:10">
      <c r="J986" s="13"/>
    </row>
    <row r="987" spans="10:10">
      <c r="J987" s="13"/>
    </row>
    <row r="988" spans="10:10">
      <c r="J988" s="13"/>
    </row>
    <row r="989" spans="10:10">
      <c r="J989" s="13"/>
    </row>
    <row r="990" spans="10:10">
      <c r="J990" s="13"/>
    </row>
    <row r="991" spans="10:10">
      <c r="J991" s="13"/>
    </row>
    <row r="992" spans="10:10">
      <c r="J992" s="13"/>
    </row>
    <row r="993" spans="10:10">
      <c r="J993" s="13"/>
    </row>
    <row r="994" spans="10:10">
      <c r="J994" s="13"/>
    </row>
    <row r="995" spans="10:10">
      <c r="J995" s="13"/>
    </row>
    <row r="996" spans="10:10">
      <c r="J996" s="13"/>
    </row>
    <row r="997" spans="10:10">
      <c r="J997" s="13"/>
    </row>
    <row r="998" spans="10:10">
      <c r="J998" s="13"/>
    </row>
    <row r="999" spans="10:10">
      <c r="J999" s="13"/>
    </row>
    <row r="1000" spans="10:10">
      <c r="J1000" s="13"/>
    </row>
    <row r="1001" spans="10:10">
      <c r="J1001" s="13"/>
    </row>
    <row r="1002" spans="10:10">
      <c r="J1002" s="13"/>
    </row>
    <row r="1003" spans="10:10">
      <c r="J1003" s="13"/>
    </row>
    <row r="1004" spans="10:10">
      <c r="J1004" s="13"/>
    </row>
    <row r="1005" spans="10:10">
      <c r="J1005" s="13"/>
    </row>
    <row r="1006" spans="10:10">
      <c r="J1006" s="13"/>
    </row>
    <row r="1007" spans="10:10">
      <c r="J1007" s="13"/>
    </row>
    <row r="1008" spans="10:10">
      <c r="J1008" s="13"/>
    </row>
    <row r="1009" spans="10:10">
      <c r="J1009" s="13"/>
    </row>
    <row r="1010" spans="10:10">
      <c r="J1010" s="13"/>
    </row>
    <row r="1011" spans="10:10">
      <c r="J1011" s="13"/>
    </row>
    <row r="1012" spans="10:10">
      <c r="J1012" s="13"/>
    </row>
    <row r="1013" spans="10:10">
      <c r="J1013" s="13"/>
    </row>
    <row r="1014" spans="10:10">
      <c r="J1014" s="13"/>
    </row>
    <row r="1015" spans="10:10">
      <c r="J1015" s="13"/>
    </row>
    <row r="1016" spans="10:10">
      <c r="J1016" s="13"/>
    </row>
    <row r="1017" spans="10:10">
      <c r="J1017" s="13"/>
    </row>
    <row r="1018" spans="10:10">
      <c r="J1018" s="13"/>
    </row>
    <row r="1019" spans="10:10">
      <c r="J1019" s="13"/>
    </row>
    <row r="1020" spans="10:10">
      <c r="J1020" s="13"/>
    </row>
    <row r="1021" spans="10:10">
      <c r="J1021" s="13"/>
    </row>
    <row r="1022" spans="10:10">
      <c r="J1022" s="13"/>
    </row>
    <row r="1023" spans="10:10">
      <c r="J1023" s="13"/>
    </row>
    <row r="1024" spans="10:10">
      <c r="J1024" s="13"/>
    </row>
    <row r="1025" spans="10:10">
      <c r="J1025" s="13"/>
    </row>
    <row r="1026" spans="10:10">
      <c r="J1026" s="13"/>
    </row>
    <row r="1027" spans="10:10">
      <c r="J1027" s="13"/>
    </row>
    <row r="1028" spans="10:10">
      <c r="J1028" s="13"/>
    </row>
    <row r="1029" spans="10:10">
      <c r="J1029" s="13"/>
    </row>
    <row r="1030" spans="10:10">
      <c r="J1030" s="13"/>
    </row>
    <row r="1031" spans="10:10">
      <c r="J1031" s="13"/>
    </row>
    <row r="1032" spans="10:10">
      <c r="J1032" s="13"/>
    </row>
    <row r="1033" spans="10:10">
      <c r="J1033" s="13"/>
    </row>
    <row r="1034" spans="10:10">
      <c r="J1034" s="13"/>
    </row>
    <row r="1035" spans="10:10">
      <c r="J1035" s="13"/>
    </row>
    <row r="1036" spans="10:10">
      <c r="J1036" s="13"/>
    </row>
    <row r="1037" spans="10:10">
      <c r="J1037" s="13"/>
    </row>
    <row r="1038" spans="10:10">
      <c r="J1038" s="13"/>
    </row>
    <row r="1039" spans="10:10">
      <c r="J1039" s="13"/>
    </row>
    <row r="1040" spans="10:10">
      <c r="J1040" s="13"/>
    </row>
    <row r="1041" spans="10:10">
      <c r="J1041" s="13"/>
    </row>
    <row r="1042" spans="10:10">
      <c r="J1042" s="13"/>
    </row>
    <row r="1043" spans="10:10">
      <c r="J1043" s="13"/>
    </row>
    <row r="1044" spans="10:10">
      <c r="J1044" s="13"/>
    </row>
    <row r="1045" spans="10:10">
      <c r="J1045" s="13"/>
    </row>
    <row r="1046" spans="10:10">
      <c r="J1046" s="13"/>
    </row>
    <row r="1047" spans="10:10">
      <c r="J1047" s="13"/>
    </row>
    <row r="1048" spans="10:10">
      <c r="J1048" s="13"/>
    </row>
    <row r="1049" spans="10:10">
      <c r="J1049" s="13"/>
    </row>
    <row r="1050" spans="10:10">
      <c r="J1050" s="13"/>
    </row>
    <row r="1051" spans="10:10">
      <c r="J1051" s="13"/>
    </row>
    <row r="1052" spans="10:10">
      <c r="J1052" s="13"/>
    </row>
    <row r="1053" spans="10:10">
      <c r="J1053" s="13"/>
    </row>
    <row r="1054" spans="10:10">
      <c r="J1054" s="13"/>
    </row>
    <row r="1055" spans="10:10">
      <c r="J1055" s="13"/>
    </row>
    <row r="1056" spans="10:10">
      <c r="J1056" s="13"/>
    </row>
    <row r="1057" spans="10:10">
      <c r="J1057" s="13"/>
    </row>
    <row r="1058" spans="10:10">
      <c r="J1058" s="13"/>
    </row>
    <row r="1059" spans="10:10">
      <c r="J1059" s="13"/>
    </row>
    <row r="1060" spans="10:10">
      <c r="J1060" s="13"/>
    </row>
    <row r="1061" spans="10:10">
      <c r="J1061" s="13"/>
    </row>
    <row r="1062" spans="10:10">
      <c r="J1062" s="13"/>
    </row>
    <row r="1063" spans="10:10">
      <c r="J1063" s="13"/>
    </row>
    <row r="1064" spans="10:10">
      <c r="J1064" s="13"/>
    </row>
    <row r="1065" spans="10:10">
      <c r="J1065" s="13"/>
    </row>
    <row r="1066" spans="10:10">
      <c r="J1066" s="13"/>
    </row>
    <row r="1067" spans="10:10">
      <c r="J1067" s="13"/>
    </row>
    <row r="1068" spans="10:10">
      <c r="J1068" s="13"/>
    </row>
    <row r="1069" spans="10:10">
      <c r="J1069" s="13"/>
    </row>
    <row r="1070" spans="10:10">
      <c r="J1070" s="13"/>
    </row>
    <row r="1071" spans="10:10">
      <c r="J1071" s="13"/>
    </row>
    <row r="1072" spans="10:10">
      <c r="J1072" s="13"/>
    </row>
    <row r="1073" spans="10:10">
      <c r="J1073" s="13"/>
    </row>
    <row r="1074" spans="10:10">
      <c r="J1074" s="13"/>
    </row>
    <row r="1075" spans="10:10">
      <c r="J1075" s="13"/>
    </row>
    <row r="1076" spans="10:10">
      <c r="J1076" s="13"/>
    </row>
    <row r="1077" spans="10:10">
      <c r="J1077" s="13"/>
    </row>
    <row r="1078" spans="10:10">
      <c r="J1078" s="13"/>
    </row>
    <row r="1079" spans="10:10">
      <c r="J1079" s="13"/>
    </row>
    <row r="1080" spans="10:10">
      <c r="J1080" s="13"/>
    </row>
    <row r="1081" spans="10:10">
      <c r="J1081" s="13"/>
    </row>
    <row r="1082" spans="10:10">
      <c r="J1082" s="13"/>
    </row>
    <row r="1083" spans="10:10">
      <c r="J1083" s="13"/>
    </row>
    <row r="1084" spans="10:10">
      <c r="J1084" s="13"/>
    </row>
    <row r="1085" spans="10:10">
      <c r="J1085" s="13"/>
    </row>
    <row r="1086" spans="10:10">
      <c r="J1086" s="13"/>
    </row>
    <row r="1087" spans="10:10">
      <c r="J1087" s="13"/>
    </row>
    <row r="1088" spans="10:10">
      <c r="J1088" s="13"/>
    </row>
    <row r="1089" spans="10:10">
      <c r="J1089" s="13"/>
    </row>
    <row r="1090" spans="10:10">
      <c r="J1090" s="13"/>
    </row>
    <row r="1091" spans="10:10">
      <c r="J1091" s="13"/>
    </row>
    <row r="1092" spans="10:10">
      <c r="J1092" s="13"/>
    </row>
    <row r="1093" spans="10:10">
      <c r="J1093" s="13"/>
    </row>
    <row r="1094" spans="10:10">
      <c r="J1094" s="13"/>
    </row>
    <row r="1095" spans="10:10">
      <c r="J1095" s="13"/>
    </row>
    <row r="1096" spans="10:10">
      <c r="J1096" s="13"/>
    </row>
    <row r="1097" spans="10:10">
      <c r="J1097" s="13"/>
    </row>
    <row r="1098" spans="10:10">
      <c r="J1098" s="13"/>
    </row>
    <row r="1099" spans="10:10">
      <c r="J1099" s="13"/>
    </row>
    <row r="1100" spans="10:10">
      <c r="J1100" s="13"/>
    </row>
    <row r="1101" spans="10:10">
      <c r="J1101" s="13"/>
    </row>
    <row r="1102" spans="10:10">
      <c r="J1102" s="13"/>
    </row>
    <row r="1103" spans="10:10">
      <c r="J1103" s="13"/>
    </row>
    <row r="1104" spans="10:10">
      <c r="J1104" s="13"/>
    </row>
    <row r="1105" spans="10:10">
      <c r="J1105" s="13"/>
    </row>
    <row r="1106" spans="10:10">
      <c r="J1106" s="13"/>
    </row>
    <row r="1107" spans="10:10">
      <c r="J1107" s="13"/>
    </row>
    <row r="1108" spans="10:10">
      <c r="J1108" s="13"/>
    </row>
    <row r="1109" spans="10:10">
      <c r="J1109" s="13"/>
    </row>
    <row r="1110" spans="10:10">
      <c r="J1110" s="13"/>
    </row>
    <row r="1111" spans="10:10">
      <c r="J1111" s="13"/>
    </row>
    <row r="1112" spans="10:10">
      <c r="J1112" s="13"/>
    </row>
    <row r="1113" spans="10:10">
      <c r="J1113" s="13"/>
    </row>
    <row r="1114" spans="10:10">
      <c r="J1114" s="13"/>
    </row>
    <row r="1115" spans="10:10">
      <c r="J1115" s="13"/>
    </row>
    <row r="1116" spans="10:10">
      <c r="J1116" s="13"/>
    </row>
    <row r="1117" spans="10:10">
      <c r="J1117" s="13"/>
    </row>
    <row r="1118" spans="10:10">
      <c r="J1118" s="13"/>
    </row>
    <row r="1119" spans="10:10">
      <c r="J1119" s="13"/>
    </row>
    <row r="1120" spans="10:10">
      <c r="J1120" s="13"/>
    </row>
    <row r="1121" spans="10:10">
      <c r="J1121" s="13"/>
    </row>
    <row r="1122" spans="10:10">
      <c r="J1122" s="13"/>
    </row>
    <row r="1123" spans="10:10">
      <c r="J1123" s="13"/>
    </row>
    <row r="1124" spans="10:10">
      <c r="J1124" s="13"/>
    </row>
    <row r="1125" spans="10:10">
      <c r="J1125" s="13"/>
    </row>
    <row r="1126" spans="10:10">
      <c r="J1126" s="13"/>
    </row>
    <row r="1127" spans="10:10">
      <c r="J1127" s="13"/>
    </row>
    <row r="1128" spans="10:10">
      <c r="J1128" s="13"/>
    </row>
    <row r="1129" spans="10:10">
      <c r="J1129" s="13"/>
    </row>
    <row r="1130" spans="10:10">
      <c r="J1130" s="13"/>
    </row>
    <row r="1131" spans="10:10">
      <c r="J1131" s="13"/>
    </row>
    <row r="1132" spans="10:10">
      <c r="J1132" s="13"/>
    </row>
    <row r="1133" spans="10:10">
      <c r="J1133" s="13"/>
    </row>
    <row r="1134" spans="10:10">
      <c r="J1134" s="13"/>
    </row>
    <row r="1135" spans="10:10">
      <c r="J1135" s="13"/>
    </row>
    <row r="1136" spans="10:10">
      <c r="J1136" s="13"/>
    </row>
    <row r="1137" spans="10:10">
      <c r="J1137" s="13"/>
    </row>
    <row r="1138" spans="10:10">
      <c r="J1138" s="13"/>
    </row>
    <row r="1139" spans="10:10">
      <c r="J1139" s="13"/>
    </row>
    <row r="1140" spans="10:10">
      <c r="J1140" s="13"/>
    </row>
    <row r="1141" spans="10:10">
      <c r="J1141" s="13"/>
    </row>
    <row r="1142" spans="10:10">
      <c r="J1142" s="13"/>
    </row>
    <row r="1143" spans="10:10">
      <c r="J1143" s="13"/>
    </row>
    <row r="1144" spans="10:10">
      <c r="J1144" s="13"/>
    </row>
    <row r="1145" spans="10:10">
      <c r="J1145" s="13"/>
    </row>
    <row r="1146" spans="10:10">
      <c r="J1146" s="13"/>
    </row>
    <row r="1147" spans="10:10">
      <c r="J1147" s="13"/>
    </row>
    <row r="1148" spans="10:10">
      <c r="J1148" s="13"/>
    </row>
    <row r="1149" spans="10:10">
      <c r="J1149" s="13"/>
    </row>
    <row r="1150" spans="10:10">
      <c r="J1150" s="13"/>
    </row>
    <row r="1151" spans="10:10">
      <c r="J1151" s="13"/>
    </row>
    <row r="1152" spans="10:10">
      <c r="J1152" s="13"/>
    </row>
    <row r="1153" spans="10:10">
      <c r="J1153" s="13"/>
    </row>
    <row r="1154" spans="10:10">
      <c r="J1154" s="13"/>
    </row>
    <row r="1155" spans="10:10">
      <c r="J1155" s="13"/>
    </row>
    <row r="1156" spans="10:10">
      <c r="J1156" s="13"/>
    </row>
    <row r="1157" spans="10:10">
      <c r="J1157" s="13"/>
    </row>
    <row r="1158" spans="10:10">
      <c r="J1158" s="13"/>
    </row>
    <row r="1159" spans="10:10">
      <c r="J1159" s="13"/>
    </row>
    <row r="1160" spans="10:10">
      <c r="J1160" s="13"/>
    </row>
    <row r="1161" spans="10:10">
      <c r="J1161" s="13"/>
    </row>
    <row r="1162" spans="10:10">
      <c r="J1162" s="13"/>
    </row>
    <row r="1163" spans="10:10">
      <c r="J1163" s="13"/>
    </row>
    <row r="1164" spans="10:10">
      <c r="J1164" s="13"/>
    </row>
    <row r="1165" spans="10:10">
      <c r="J1165" s="13"/>
    </row>
    <row r="1166" spans="10:10">
      <c r="J1166" s="13"/>
    </row>
    <row r="1167" spans="10:10">
      <c r="J1167" s="13"/>
    </row>
    <row r="1168" spans="10:10">
      <c r="J1168" s="13"/>
    </row>
    <row r="1169" spans="10:10">
      <c r="J1169" s="13"/>
    </row>
    <row r="1170" spans="10:10">
      <c r="J1170" s="13"/>
    </row>
    <row r="1171" spans="10:10">
      <c r="J1171" s="13"/>
    </row>
    <row r="1172" spans="10:10">
      <c r="J1172" s="13"/>
    </row>
    <row r="1173" spans="10:10">
      <c r="J1173" s="13"/>
    </row>
    <row r="1174" spans="10:10">
      <c r="J1174" s="13"/>
    </row>
    <row r="1175" spans="10:10">
      <c r="J1175" s="13"/>
    </row>
    <row r="1176" spans="10:10">
      <c r="J1176" s="13"/>
    </row>
    <row r="1177" spans="10:10">
      <c r="J1177" s="13"/>
    </row>
    <row r="1178" spans="10:10">
      <c r="J1178" s="13"/>
    </row>
    <row r="1179" spans="10:10">
      <c r="J1179" s="13"/>
    </row>
    <row r="1180" spans="10:10">
      <c r="J1180" s="13"/>
    </row>
    <row r="1181" spans="10:10">
      <c r="J1181" s="13"/>
    </row>
    <row r="1182" spans="10:10">
      <c r="J1182" s="13"/>
    </row>
    <row r="1183" spans="10:10">
      <c r="J1183" s="13"/>
    </row>
    <row r="1184" spans="10:10">
      <c r="J1184" s="13"/>
    </row>
    <row r="1185" spans="10:10">
      <c r="J1185" s="13"/>
    </row>
    <row r="1186" spans="10:10">
      <c r="J1186" s="13"/>
    </row>
    <row r="1187" spans="10:10">
      <c r="J1187" s="13"/>
    </row>
    <row r="1188" spans="10:10">
      <c r="J1188" s="13"/>
    </row>
    <row r="1189" spans="10:10">
      <c r="J1189" s="13"/>
    </row>
    <row r="1190" spans="10:10">
      <c r="J1190" s="13"/>
    </row>
    <row r="1191" spans="10:10">
      <c r="J1191" s="13"/>
    </row>
    <row r="1192" spans="10:10">
      <c r="J1192" s="13"/>
    </row>
    <row r="1193" spans="10:10">
      <c r="J1193" s="13"/>
    </row>
    <row r="1194" spans="10:10">
      <c r="J1194" s="13"/>
    </row>
    <row r="1195" spans="10:10">
      <c r="J1195" s="13"/>
    </row>
    <row r="1196" spans="10:10">
      <c r="J1196" s="13"/>
    </row>
    <row r="1197" spans="10:10">
      <c r="J1197" s="13"/>
    </row>
    <row r="1198" spans="10:10">
      <c r="J1198" s="13"/>
    </row>
    <row r="1199" spans="10:10">
      <c r="J1199" s="13"/>
    </row>
    <row r="1200" spans="10:10">
      <c r="J1200" s="13"/>
    </row>
    <row r="1201" spans="10:10">
      <c r="J1201" s="13"/>
    </row>
    <row r="1202" spans="10:10">
      <c r="J1202" s="13"/>
    </row>
    <row r="1203" spans="10:10">
      <c r="J1203" s="13"/>
    </row>
    <row r="1204" spans="10:10">
      <c r="J1204" s="13"/>
    </row>
    <row r="1205" spans="10:10">
      <c r="J1205" s="13"/>
    </row>
    <row r="1206" spans="10:10">
      <c r="J1206" s="13"/>
    </row>
    <row r="1207" spans="10:10">
      <c r="J1207" s="13"/>
    </row>
    <row r="1208" spans="10:10">
      <c r="J1208" s="13"/>
    </row>
    <row r="1209" spans="10:10">
      <c r="J1209" s="13"/>
    </row>
    <row r="1210" spans="10:10">
      <c r="J1210" s="13"/>
    </row>
    <row r="1211" spans="10:10">
      <c r="J1211" s="13"/>
    </row>
    <row r="1212" spans="10:10">
      <c r="J1212" s="13"/>
    </row>
    <row r="1213" spans="10:10">
      <c r="J1213" s="13"/>
    </row>
    <row r="1214" spans="10:10">
      <c r="J1214" s="13"/>
    </row>
    <row r="1215" spans="10:10">
      <c r="J1215" s="13"/>
    </row>
    <row r="1216" spans="10:10">
      <c r="J1216" s="13"/>
    </row>
    <row r="1217" spans="10:10">
      <c r="J1217" s="13"/>
    </row>
    <row r="1218" spans="10:10">
      <c r="J1218" s="13"/>
    </row>
    <row r="1219" spans="10:10">
      <c r="J1219" s="13"/>
    </row>
    <row r="1220" spans="10:10">
      <c r="J1220" s="13"/>
    </row>
    <row r="1221" spans="10:10">
      <c r="J1221" s="13"/>
    </row>
    <row r="1222" spans="10:10">
      <c r="J1222" s="13"/>
    </row>
    <row r="1223" spans="10:10">
      <c r="J1223" s="13"/>
    </row>
    <row r="1224" spans="10:10">
      <c r="J1224" s="13"/>
    </row>
    <row r="1225" spans="10:10">
      <c r="J1225" s="13"/>
    </row>
    <row r="1226" spans="10:10">
      <c r="J1226" s="13"/>
    </row>
    <row r="1227" spans="10:10">
      <c r="J1227" s="13"/>
    </row>
    <row r="1228" spans="10:10">
      <c r="J1228" s="13"/>
    </row>
    <row r="1229" spans="10:10">
      <c r="J1229" s="13"/>
    </row>
    <row r="1230" spans="10:10">
      <c r="J1230" s="13"/>
    </row>
    <row r="1231" spans="10:10">
      <c r="J1231" s="13"/>
    </row>
    <row r="1232" spans="10:10">
      <c r="J1232" s="13"/>
    </row>
    <row r="1233" spans="10:10">
      <c r="J1233" s="13"/>
    </row>
    <row r="1234" spans="10:10">
      <c r="J1234" s="13"/>
    </row>
    <row r="1235" spans="10:10">
      <c r="J1235" s="13"/>
    </row>
    <row r="1236" spans="10:10">
      <c r="J1236" s="13"/>
    </row>
    <row r="1237" spans="10:10">
      <c r="J1237" s="13"/>
    </row>
    <row r="1238" spans="10:10">
      <c r="J1238" s="13"/>
    </row>
    <row r="1239" spans="10:10">
      <c r="J1239" s="13"/>
    </row>
    <row r="1240" spans="10:10">
      <c r="J1240" s="13"/>
    </row>
    <row r="1241" spans="10:10">
      <c r="J1241" s="13"/>
    </row>
    <row r="1242" spans="10:10">
      <c r="J1242" s="13"/>
    </row>
    <row r="1243" spans="10:10">
      <c r="J1243" s="13"/>
    </row>
    <row r="1244" spans="10:10">
      <c r="J1244" s="13"/>
    </row>
    <row r="1245" spans="10:10">
      <c r="J1245" s="13"/>
    </row>
    <row r="1246" spans="10:10">
      <c r="J1246" s="13"/>
    </row>
    <row r="1247" spans="10:10">
      <c r="J1247" s="13"/>
    </row>
    <row r="1248" spans="10:10">
      <c r="J1248" s="13"/>
    </row>
    <row r="1249" spans="10:10">
      <c r="J1249" s="13"/>
    </row>
    <row r="1250" spans="10:10">
      <c r="J1250" s="13"/>
    </row>
    <row r="1251" spans="10:10">
      <c r="J1251" s="13"/>
    </row>
    <row r="1252" spans="10:10">
      <c r="J1252" s="13"/>
    </row>
    <row r="1253" spans="10:10">
      <c r="J1253" s="13"/>
    </row>
    <row r="1254" spans="10:10">
      <c r="J1254" s="13"/>
    </row>
    <row r="1255" spans="10:10">
      <c r="J1255" s="13"/>
    </row>
    <row r="1256" spans="10:10">
      <c r="J1256" s="13"/>
    </row>
    <row r="1257" spans="10:10">
      <c r="J1257" s="13"/>
    </row>
    <row r="1258" spans="10:10">
      <c r="J1258" s="13"/>
    </row>
    <row r="1259" spans="10:10">
      <c r="J1259" s="13"/>
    </row>
    <row r="1260" spans="10:10">
      <c r="J1260" s="13"/>
    </row>
    <row r="1261" spans="10:10">
      <c r="J1261" s="13"/>
    </row>
    <row r="1262" spans="10:10">
      <c r="J1262" s="13"/>
    </row>
    <row r="1263" spans="10:10">
      <c r="J1263" s="13"/>
    </row>
    <row r="1264" spans="10:10">
      <c r="J1264" s="13"/>
    </row>
    <row r="1265" spans="10:10">
      <c r="J1265" s="13"/>
    </row>
    <row r="1266" spans="10:10">
      <c r="J1266" s="13"/>
    </row>
    <row r="1267" spans="10:10">
      <c r="J1267" s="13"/>
    </row>
    <row r="1268" spans="10:10">
      <c r="J1268" s="13"/>
    </row>
    <row r="1269" spans="10:10">
      <c r="J1269" s="13"/>
    </row>
    <row r="1270" spans="10:10">
      <c r="J1270" s="13"/>
    </row>
    <row r="1271" spans="10:10">
      <c r="J1271" s="13"/>
    </row>
    <row r="1272" spans="10:10">
      <c r="J1272" s="13"/>
    </row>
    <row r="1273" spans="10:10">
      <c r="J1273" s="13"/>
    </row>
    <row r="1274" spans="10:10">
      <c r="J1274" s="13"/>
    </row>
    <row r="1275" spans="10:10">
      <c r="J1275" s="13"/>
    </row>
    <row r="1276" spans="10:10">
      <c r="J1276" s="13"/>
    </row>
    <row r="1277" spans="10:10">
      <c r="J1277" s="13"/>
    </row>
    <row r="1278" spans="10:10">
      <c r="J1278" s="13"/>
    </row>
    <row r="1279" spans="10:10">
      <c r="J1279" s="13"/>
    </row>
    <row r="1280" spans="10:10">
      <c r="J1280" s="13"/>
    </row>
    <row r="1281" spans="10:10">
      <c r="J1281" s="13"/>
    </row>
    <row r="1282" spans="10:10">
      <c r="J1282" s="13"/>
    </row>
    <row r="1283" spans="10:10">
      <c r="J1283" s="13"/>
    </row>
    <row r="1284" spans="10:10">
      <c r="J1284" s="13"/>
    </row>
    <row r="1285" spans="10:10">
      <c r="J1285" s="13"/>
    </row>
    <row r="1286" spans="10:10">
      <c r="J1286" s="13"/>
    </row>
    <row r="1287" spans="10:10">
      <c r="J1287" s="13"/>
    </row>
    <row r="1288" spans="10:10">
      <c r="J1288" s="13"/>
    </row>
    <row r="1289" spans="10:10">
      <c r="J1289" s="13"/>
    </row>
    <row r="1290" spans="10:10">
      <c r="J1290" s="13"/>
    </row>
    <row r="1291" spans="10:10">
      <c r="J1291" s="13"/>
    </row>
    <row r="1292" spans="10:10">
      <c r="J1292" s="13"/>
    </row>
    <row r="1293" spans="10:10">
      <c r="J1293" s="13"/>
    </row>
    <row r="1294" spans="10:10">
      <c r="J1294" s="13"/>
    </row>
    <row r="1295" spans="10:10">
      <c r="J1295" s="13"/>
    </row>
    <row r="1296" spans="10:10">
      <c r="J1296" s="13"/>
    </row>
    <row r="1297" spans="10:10">
      <c r="J1297" s="13"/>
    </row>
    <row r="1298" spans="10:10">
      <c r="J1298" s="13"/>
    </row>
    <row r="1299" spans="10:10">
      <c r="J1299" s="13"/>
    </row>
    <row r="1300" spans="10:10">
      <c r="J1300" s="13"/>
    </row>
    <row r="1301" spans="10:10">
      <c r="J1301" s="13"/>
    </row>
    <row r="1302" spans="10:10">
      <c r="J1302" s="13"/>
    </row>
    <row r="1303" spans="10:10">
      <c r="J1303" s="13"/>
    </row>
    <row r="1304" spans="10:10">
      <c r="J1304" s="13"/>
    </row>
    <row r="1305" spans="10:10">
      <c r="J1305" s="13"/>
    </row>
    <row r="1306" spans="10:10">
      <c r="J1306" s="13"/>
    </row>
    <row r="1307" spans="10:10">
      <c r="J1307" s="13"/>
    </row>
    <row r="1308" spans="10:10">
      <c r="J1308" s="13"/>
    </row>
    <row r="1309" spans="10:10">
      <c r="J1309" s="13"/>
    </row>
    <row r="1310" spans="10:10">
      <c r="J1310" s="13"/>
    </row>
    <row r="1311" spans="10:10">
      <c r="J1311" s="13"/>
    </row>
    <row r="1312" spans="10:10">
      <c r="J1312" s="13"/>
    </row>
    <row r="1313" spans="10:10">
      <c r="J1313" s="13"/>
    </row>
    <row r="1314" spans="10:10">
      <c r="J1314" s="13"/>
    </row>
    <row r="1315" spans="10:10">
      <c r="J1315" s="13"/>
    </row>
    <row r="1316" spans="10:10">
      <c r="J1316" s="13"/>
    </row>
    <row r="1317" spans="10:10">
      <c r="J1317" s="13"/>
    </row>
    <row r="1318" spans="10:10">
      <c r="J1318" s="13"/>
    </row>
    <row r="1319" spans="10:10">
      <c r="J1319" s="13"/>
    </row>
    <row r="1320" spans="10:10">
      <c r="J1320" s="13"/>
    </row>
    <row r="1321" spans="10:10">
      <c r="J1321" s="13"/>
    </row>
    <row r="1322" spans="10:10">
      <c r="J1322" s="13"/>
    </row>
    <row r="1323" spans="10:10">
      <c r="J1323" s="13"/>
    </row>
    <row r="1324" spans="10:10">
      <c r="J1324" s="13"/>
    </row>
    <row r="1325" spans="10:10">
      <c r="J1325" s="13"/>
    </row>
    <row r="1326" spans="10:10">
      <c r="J1326" s="13"/>
    </row>
    <row r="1327" spans="10:10">
      <c r="J1327" s="13"/>
    </row>
    <row r="1328" spans="10:10">
      <c r="J1328" s="13"/>
    </row>
    <row r="1329" spans="10:10">
      <c r="J1329" s="13"/>
    </row>
    <row r="1330" spans="10:10">
      <c r="J1330" s="13"/>
    </row>
    <row r="1331" spans="10:10">
      <c r="J1331" s="13"/>
    </row>
    <row r="1332" spans="10:10">
      <c r="J1332" s="13"/>
    </row>
    <row r="1333" spans="10:10">
      <c r="J1333" s="13"/>
    </row>
    <row r="1334" spans="10:10">
      <c r="J1334" s="13"/>
    </row>
    <row r="1335" spans="10:10">
      <c r="J1335" s="13"/>
    </row>
    <row r="1336" spans="10:10">
      <c r="J1336" s="13"/>
    </row>
    <row r="1337" spans="10:10">
      <c r="J1337" s="13"/>
    </row>
    <row r="1338" spans="10:10">
      <c r="J1338" s="13"/>
    </row>
    <row r="1339" spans="10:10">
      <c r="J1339" s="13"/>
    </row>
    <row r="1340" spans="10:10">
      <c r="J1340" s="13"/>
    </row>
    <row r="1341" spans="10:10">
      <c r="J1341" s="13"/>
    </row>
    <row r="1342" spans="10:10">
      <c r="J1342" s="13"/>
    </row>
    <row r="1343" spans="10:10">
      <c r="J1343" s="13"/>
    </row>
    <row r="1344" spans="10:10">
      <c r="J1344" s="13"/>
    </row>
    <row r="1345" spans="10:10">
      <c r="J1345" s="13"/>
    </row>
    <row r="1346" spans="10:10">
      <c r="J1346" s="13"/>
    </row>
    <row r="1347" spans="10:10">
      <c r="J1347" s="13"/>
    </row>
    <row r="1348" spans="10:10">
      <c r="J1348" s="13"/>
    </row>
    <row r="1349" spans="10:10">
      <c r="J1349" s="13"/>
    </row>
    <row r="1350" spans="10:10">
      <c r="J1350" s="13"/>
    </row>
    <row r="1351" spans="10:10">
      <c r="J1351" s="13"/>
    </row>
    <row r="1352" spans="10:10">
      <c r="J1352" s="13"/>
    </row>
    <row r="1353" spans="10:10">
      <c r="J1353" s="13"/>
    </row>
    <row r="1354" spans="10:10">
      <c r="J1354" s="13"/>
    </row>
    <row r="1355" spans="10:10">
      <c r="J1355" s="13"/>
    </row>
    <row r="1356" spans="10:10">
      <c r="J1356" s="13"/>
    </row>
    <row r="1357" spans="10:10">
      <c r="J1357" s="13"/>
    </row>
    <row r="1358" spans="10:10">
      <c r="J1358" s="13"/>
    </row>
    <row r="1359" spans="10:10">
      <c r="J1359" s="13"/>
    </row>
    <row r="1360" spans="10:10">
      <c r="J1360" s="13"/>
    </row>
    <row r="1361" spans="10:10">
      <c r="J1361" s="13"/>
    </row>
    <row r="1362" spans="10:10">
      <c r="J1362" s="13"/>
    </row>
    <row r="1363" spans="10:10">
      <c r="J1363" s="13"/>
    </row>
    <row r="1364" spans="10:10">
      <c r="J1364" s="13"/>
    </row>
    <row r="1365" spans="10:10">
      <c r="J1365" s="13"/>
    </row>
    <row r="1366" spans="10:10">
      <c r="J1366" s="13"/>
    </row>
    <row r="1367" spans="10:10">
      <c r="J1367" s="13"/>
    </row>
    <row r="1368" spans="10:10">
      <c r="J1368" s="13"/>
    </row>
    <row r="1369" spans="10:10">
      <c r="J1369" s="13"/>
    </row>
    <row r="1370" spans="10:10">
      <c r="J1370" s="13"/>
    </row>
    <row r="1371" spans="10:10">
      <c r="J1371" s="13"/>
    </row>
    <row r="1372" spans="10:10">
      <c r="J1372" s="13"/>
    </row>
    <row r="1373" spans="10:10">
      <c r="J1373" s="13"/>
    </row>
    <row r="1374" spans="10:10">
      <c r="J1374" s="13"/>
    </row>
    <row r="1375" spans="10:10">
      <c r="J1375" s="13"/>
    </row>
    <row r="1376" spans="10:10">
      <c r="J1376" s="13"/>
    </row>
    <row r="1377" spans="10:10">
      <c r="J1377" s="13"/>
    </row>
    <row r="1378" spans="10:10">
      <c r="J1378" s="13"/>
    </row>
    <row r="1379" spans="10:10">
      <c r="J1379" s="13"/>
    </row>
    <row r="1380" spans="10:10">
      <c r="J1380" s="13"/>
    </row>
    <row r="1381" spans="10:10">
      <c r="J1381" s="13"/>
    </row>
    <row r="1382" spans="10:10">
      <c r="J1382" s="13"/>
    </row>
    <row r="1383" spans="10:10">
      <c r="J1383" s="13"/>
    </row>
    <row r="1384" spans="10:10">
      <c r="J1384" s="13"/>
    </row>
    <row r="1385" spans="10:10">
      <c r="J1385" s="13"/>
    </row>
    <row r="1386" spans="10:10">
      <c r="J1386" s="13"/>
    </row>
    <row r="1387" spans="10:10">
      <c r="J1387" s="13"/>
    </row>
    <row r="1388" spans="10:10">
      <c r="J1388" s="13"/>
    </row>
    <row r="1389" spans="10:10">
      <c r="J1389" s="13"/>
    </row>
    <row r="1390" spans="10:10">
      <c r="J1390" s="13"/>
    </row>
    <row r="1391" spans="10:10">
      <c r="J1391" s="13"/>
    </row>
    <row r="1392" spans="10:10">
      <c r="J1392" s="13"/>
    </row>
    <row r="1393" spans="10:10">
      <c r="J1393" s="13"/>
    </row>
    <row r="1394" spans="10:10">
      <c r="J1394" s="13"/>
    </row>
    <row r="1395" spans="10:10">
      <c r="J1395" s="13"/>
    </row>
    <row r="1396" spans="10:10">
      <c r="J1396" s="13"/>
    </row>
    <row r="1397" spans="10:10">
      <c r="J1397" s="13"/>
    </row>
    <row r="1398" spans="10:10">
      <c r="J1398" s="13"/>
    </row>
    <row r="1399" spans="10:10">
      <c r="J1399" s="13"/>
    </row>
    <row r="1400" spans="10:10">
      <c r="J1400" s="13"/>
    </row>
    <row r="1401" spans="10:10">
      <c r="J1401" s="13"/>
    </row>
    <row r="1402" spans="10:10">
      <c r="J1402" s="13"/>
    </row>
    <row r="1403" spans="10:10">
      <c r="J1403" s="13"/>
    </row>
    <row r="1404" spans="10:10">
      <c r="J1404" s="13"/>
    </row>
    <row r="1405" spans="10:10">
      <c r="J1405" s="13"/>
    </row>
    <row r="1406" spans="10:10">
      <c r="J1406" s="13"/>
    </row>
    <row r="1407" spans="10:10">
      <c r="J1407" s="13"/>
    </row>
    <row r="1408" spans="10:10">
      <c r="J1408" s="13"/>
    </row>
    <row r="1409" spans="10:10">
      <c r="J1409" s="13"/>
    </row>
    <row r="1410" spans="10:10">
      <c r="J1410" s="13"/>
    </row>
    <row r="1411" spans="10:10">
      <c r="J1411" s="13"/>
    </row>
    <row r="1412" spans="10:10">
      <c r="J1412" s="13"/>
    </row>
    <row r="1413" spans="10:10">
      <c r="J1413" s="13"/>
    </row>
    <row r="1414" spans="10:10">
      <c r="J1414" s="13"/>
    </row>
    <row r="1415" spans="10:10">
      <c r="J1415" s="13"/>
    </row>
    <row r="1416" spans="10:10">
      <c r="J1416" s="13"/>
    </row>
    <row r="1417" spans="10:10">
      <c r="J1417" s="13"/>
    </row>
    <row r="1418" spans="10:10">
      <c r="J1418" s="13"/>
    </row>
    <row r="1419" spans="10:10">
      <c r="J1419" s="13"/>
    </row>
    <row r="1420" spans="10:10">
      <c r="J1420" s="13"/>
    </row>
    <row r="1421" spans="10:10">
      <c r="J1421" s="13"/>
    </row>
    <row r="1422" spans="10:10">
      <c r="J1422" s="13"/>
    </row>
    <row r="1423" spans="10:10">
      <c r="J1423" s="13"/>
    </row>
    <row r="1424" spans="10:10">
      <c r="J1424" s="13"/>
    </row>
    <row r="1425" spans="10:10">
      <c r="J1425" s="13"/>
    </row>
    <row r="1426" spans="10:10">
      <c r="J1426" s="13"/>
    </row>
    <row r="1427" spans="10:10">
      <c r="J1427" s="13"/>
    </row>
    <row r="1428" spans="10:10">
      <c r="J1428" s="13"/>
    </row>
    <row r="1429" spans="10:10">
      <c r="J1429" s="13"/>
    </row>
    <row r="1430" spans="10:10">
      <c r="J1430" s="13"/>
    </row>
    <row r="1431" spans="10:10">
      <c r="J1431" s="13"/>
    </row>
    <row r="1432" spans="10:10">
      <c r="J1432" s="13"/>
    </row>
    <row r="1433" spans="10:10">
      <c r="J1433" s="13"/>
    </row>
    <row r="1434" spans="10:10">
      <c r="J1434" s="13"/>
    </row>
    <row r="1435" spans="10:10">
      <c r="J1435" s="13"/>
    </row>
    <row r="1436" spans="10:10">
      <c r="J1436" s="13"/>
    </row>
    <row r="1437" spans="10:10">
      <c r="J1437" s="13"/>
    </row>
    <row r="1438" spans="10:10">
      <c r="J1438" s="13"/>
    </row>
    <row r="1439" spans="10:10">
      <c r="J1439" s="13"/>
    </row>
    <row r="1440" spans="10:10">
      <c r="J1440" s="13"/>
    </row>
    <row r="1441" spans="10:10">
      <c r="J1441" s="13"/>
    </row>
    <row r="1442" spans="10:10">
      <c r="J1442" s="13"/>
    </row>
    <row r="1443" spans="10:10">
      <c r="J1443" s="13"/>
    </row>
    <row r="1444" spans="10:10">
      <c r="J1444" s="13"/>
    </row>
    <row r="1445" spans="10:10">
      <c r="J1445" s="13"/>
    </row>
    <row r="1446" spans="10:10">
      <c r="J1446" s="13"/>
    </row>
    <row r="1447" spans="10:10">
      <c r="J1447" s="13"/>
    </row>
    <row r="1448" spans="10:10">
      <c r="J1448" s="13"/>
    </row>
    <row r="1449" spans="10:10">
      <c r="J1449" s="13"/>
    </row>
    <row r="1450" spans="10:10">
      <c r="J1450" s="13"/>
    </row>
    <row r="1451" spans="10:10">
      <c r="J1451" s="13"/>
    </row>
    <row r="1452" spans="10:10">
      <c r="J1452" s="13"/>
    </row>
    <row r="1453" spans="10:10">
      <c r="J1453" s="13"/>
    </row>
    <row r="1454" spans="10:10">
      <c r="J1454" s="13"/>
    </row>
    <row r="1455" spans="10:10">
      <c r="J1455" s="13"/>
    </row>
    <row r="1456" spans="10:10">
      <c r="J1456" s="13"/>
    </row>
    <row r="1457" spans="10:10">
      <c r="J1457" s="13"/>
    </row>
    <row r="1458" spans="10:10">
      <c r="J1458" s="13"/>
    </row>
    <row r="1459" spans="10:10">
      <c r="J1459" s="13"/>
    </row>
    <row r="1460" spans="10:10">
      <c r="J1460" s="13"/>
    </row>
    <row r="1461" spans="10:10">
      <c r="J1461" s="13"/>
    </row>
    <row r="1462" spans="10:10">
      <c r="J1462" s="13"/>
    </row>
    <row r="1463" spans="10:10">
      <c r="J1463" s="13"/>
    </row>
    <row r="1464" spans="10:10">
      <c r="J1464" s="13"/>
    </row>
    <row r="1465" spans="10:10">
      <c r="J1465" s="13"/>
    </row>
    <row r="1466" spans="10:10">
      <c r="J1466" s="13"/>
    </row>
    <row r="1467" spans="10:10">
      <c r="J1467" s="13"/>
    </row>
    <row r="1468" spans="10:10">
      <c r="J1468" s="13"/>
    </row>
    <row r="1469" spans="10:10">
      <c r="J1469" s="13"/>
    </row>
    <row r="1470" spans="10:10">
      <c r="J1470" s="13"/>
    </row>
    <row r="1471" spans="10:10">
      <c r="J1471" s="13"/>
    </row>
    <row r="1472" spans="10:10">
      <c r="J1472" s="13"/>
    </row>
    <row r="1473" spans="10:10">
      <c r="J1473" s="13"/>
    </row>
    <row r="1474" spans="10:10">
      <c r="J1474" s="13"/>
    </row>
    <row r="1475" spans="10:10">
      <c r="J1475" s="13"/>
    </row>
    <row r="1476" spans="10:10">
      <c r="J1476" s="13"/>
    </row>
    <row r="1477" spans="10:10">
      <c r="J1477" s="13"/>
    </row>
    <row r="1478" spans="10:10">
      <c r="J1478" s="13"/>
    </row>
    <row r="1479" spans="10:10">
      <c r="J1479" s="13"/>
    </row>
    <row r="1480" spans="10:10">
      <c r="J1480" s="13"/>
    </row>
    <row r="1481" spans="10:10">
      <c r="J1481" s="13"/>
    </row>
    <row r="1482" spans="10:10">
      <c r="J1482" s="13"/>
    </row>
    <row r="1483" spans="10:10">
      <c r="J1483" s="13"/>
    </row>
    <row r="1484" spans="10:10">
      <c r="J1484" s="13"/>
    </row>
    <row r="1485" spans="10:10">
      <c r="J1485" s="13"/>
    </row>
    <row r="1486" spans="10:10">
      <c r="J1486" s="13"/>
    </row>
    <row r="1487" spans="10:10">
      <c r="J1487" s="13"/>
    </row>
    <row r="1488" spans="10:10">
      <c r="J1488" s="13"/>
    </row>
    <row r="1489" spans="10:10">
      <c r="J1489" s="13"/>
    </row>
    <row r="1490" spans="10:10">
      <c r="J1490" s="13"/>
    </row>
    <row r="1491" spans="10:10">
      <c r="J1491" s="13"/>
    </row>
    <row r="1492" spans="10:10">
      <c r="J1492" s="13"/>
    </row>
    <row r="1493" spans="10:10">
      <c r="J1493" s="13"/>
    </row>
    <row r="1494" spans="10:10">
      <c r="J1494" s="13"/>
    </row>
    <row r="1495" spans="10:10">
      <c r="J1495" s="13"/>
    </row>
    <row r="1496" spans="10:10">
      <c r="J1496" s="13"/>
    </row>
    <row r="1497" spans="10:10">
      <c r="J1497" s="13"/>
    </row>
    <row r="1498" spans="10:10">
      <c r="J1498" s="13"/>
    </row>
    <row r="1499" spans="10:10">
      <c r="J1499" s="13"/>
    </row>
    <row r="1500" spans="10:10">
      <c r="J1500" s="13"/>
    </row>
    <row r="1501" spans="10:10">
      <c r="J1501" s="13"/>
    </row>
    <row r="1502" spans="10:10">
      <c r="J1502" s="13"/>
    </row>
    <row r="1503" spans="10:10">
      <c r="J1503" s="13"/>
    </row>
    <row r="1504" spans="10:10">
      <c r="J1504" s="13"/>
    </row>
    <row r="1505" spans="10:10">
      <c r="J1505" s="13"/>
    </row>
    <row r="1506" spans="10:10">
      <c r="J1506" s="13"/>
    </row>
    <row r="1507" spans="10:10">
      <c r="J1507" s="13"/>
    </row>
    <row r="1508" spans="10:10">
      <c r="J1508" s="13"/>
    </row>
    <row r="1509" spans="10:10">
      <c r="J1509" s="13"/>
    </row>
    <row r="1510" spans="10:10">
      <c r="J1510" s="13"/>
    </row>
    <row r="1511" spans="10:10">
      <c r="J1511" s="13"/>
    </row>
    <row r="1512" spans="10:10">
      <c r="J1512" s="13"/>
    </row>
    <row r="1513" spans="10:10">
      <c r="J1513" s="13"/>
    </row>
    <row r="1514" spans="10:10">
      <c r="J1514" s="13"/>
    </row>
    <row r="1515" spans="10:10">
      <c r="J1515" s="13"/>
    </row>
    <row r="1516" spans="10:10">
      <c r="J1516" s="13"/>
    </row>
    <row r="1517" spans="10:10">
      <c r="J1517" s="13"/>
    </row>
    <row r="1518" spans="10:10">
      <c r="J1518" s="13"/>
    </row>
    <row r="1519" spans="10:10">
      <c r="J1519" s="13"/>
    </row>
    <row r="1520" spans="10:10">
      <c r="J1520" s="13"/>
    </row>
    <row r="1521" spans="10:10">
      <c r="J1521" s="13"/>
    </row>
    <row r="1522" spans="10:10">
      <c r="J1522" s="13"/>
    </row>
    <row r="1523" spans="10:10">
      <c r="J1523" s="13"/>
    </row>
    <row r="1524" spans="10:10">
      <c r="J1524" s="13"/>
    </row>
    <row r="1525" spans="10:10">
      <c r="J1525" s="13"/>
    </row>
    <row r="1526" spans="10:10">
      <c r="J1526" s="13"/>
    </row>
    <row r="1527" spans="10:10">
      <c r="J1527" s="13"/>
    </row>
    <row r="1528" spans="10:10">
      <c r="J1528" s="13"/>
    </row>
    <row r="1529" spans="10:10">
      <c r="J1529" s="13"/>
    </row>
    <row r="1530" spans="10:10">
      <c r="J1530" s="13"/>
    </row>
    <row r="1531" spans="10:10">
      <c r="J1531" s="13"/>
    </row>
    <row r="1532" spans="10:10">
      <c r="J1532" s="13"/>
    </row>
    <row r="1533" spans="10:10">
      <c r="J1533" s="13"/>
    </row>
    <row r="1534" spans="10:10">
      <c r="J1534" s="13"/>
    </row>
    <row r="1535" spans="10:10">
      <c r="J1535" s="13"/>
    </row>
    <row r="1536" spans="10:10">
      <c r="J1536" s="13"/>
    </row>
    <row r="1537" spans="10:10">
      <c r="J1537" s="13"/>
    </row>
    <row r="1538" spans="10:10">
      <c r="J1538" s="13"/>
    </row>
    <row r="1539" spans="10:10">
      <c r="J1539" s="13"/>
    </row>
    <row r="1540" spans="10:10">
      <c r="J1540" s="13"/>
    </row>
    <row r="1541" spans="10:10">
      <c r="J1541" s="13"/>
    </row>
    <row r="1542" spans="10:10">
      <c r="J1542" s="13"/>
    </row>
    <row r="1543" spans="10:10">
      <c r="J1543" s="13"/>
    </row>
    <row r="1544" spans="10:10">
      <c r="J1544" s="13"/>
    </row>
    <row r="1545" spans="10:10">
      <c r="J1545" s="13"/>
    </row>
    <row r="1546" spans="10:10">
      <c r="J1546" s="13"/>
    </row>
    <row r="1547" spans="10:10">
      <c r="J1547" s="13"/>
    </row>
    <row r="1548" spans="10:10">
      <c r="J1548" s="13"/>
    </row>
    <row r="1549" spans="10:10">
      <c r="J1549" s="13"/>
    </row>
    <row r="1550" spans="10:10">
      <c r="J1550" s="13"/>
    </row>
    <row r="1551" spans="10:10">
      <c r="J1551" s="13"/>
    </row>
    <row r="1552" spans="10:10">
      <c r="J1552" s="13"/>
    </row>
    <row r="1553" spans="10:10">
      <c r="J1553" s="13"/>
    </row>
    <row r="1554" spans="10:10">
      <c r="J1554" s="13"/>
    </row>
    <row r="1555" spans="10:10">
      <c r="J1555" s="13"/>
    </row>
    <row r="1556" spans="10:10">
      <c r="J1556" s="13"/>
    </row>
    <row r="1557" spans="10:10">
      <c r="J1557" s="13"/>
    </row>
    <row r="1558" spans="10:10">
      <c r="J1558" s="13"/>
    </row>
    <row r="1559" spans="10:10">
      <c r="J1559" s="13"/>
    </row>
    <row r="1560" spans="10:10">
      <c r="J1560" s="13"/>
    </row>
    <row r="1561" spans="10:10">
      <c r="J1561" s="13"/>
    </row>
    <row r="1562" spans="10:10">
      <c r="J1562" s="13"/>
    </row>
    <row r="1563" spans="10:10">
      <c r="J1563" s="13"/>
    </row>
    <row r="1564" spans="10:10">
      <c r="J1564" s="13"/>
    </row>
    <row r="1565" spans="10:10">
      <c r="J1565" s="13"/>
    </row>
    <row r="1566" spans="10:10">
      <c r="J1566" s="13"/>
    </row>
    <row r="1567" spans="10:10">
      <c r="J1567" s="13"/>
    </row>
    <row r="1568" spans="10:10">
      <c r="J1568" s="13"/>
    </row>
    <row r="1569" spans="10:10">
      <c r="J1569" s="13"/>
    </row>
    <row r="1570" spans="10:10">
      <c r="J1570" s="13"/>
    </row>
    <row r="1571" spans="10:10">
      <c r="J1571" s="13"/>
    </row>
    <row r="1572" spans="10:10">
      <c r="J1572" s="13"/>
    </row>
    <row r="1573" spans="10:10">
      <c r="J1573" s="13"/>
    </row>
    <row r="1574" spans="10:10">
      <c r="J1574" s="13"/>
    </row>
    <row r="1575" spans="10:10">
      <c r="J1575" s="13"/>
    </row>
    <row r="1576" spans="10:10">
      <c r="J1576" s="13"/>
    </row>
    <row r="1577" spans="10:10">
      <c r="J1577" s="13"/>
    </row>
    <row r="1578" spans="10:10">
      <c r="J1578" s="13"/>
    </row>
    <row r="1579" spans="10:10">
      <c r="J1579" s="13"/>
    </row>
    <row r="1580" spans="10:10">
      <c r="J1580" s="13"/>
    </row>
    <row r="1581" spans="10:10">
      <c r="J1581" s="13"/>
    </row>
    <row r="1582" spans="10:10">
      <c r="J1582" s="13"/>
    </row>
    <row r="1583" spans="10:10">
      <c r="J1583" s="13"/>
    </row>
    <row r="1584" spans="10:10">
      <c r="J1584" s="13"/>
    </row>
    <row r="1585" spans="10:10">
      <c r="J1585" s="13"/>
    </row>
    <row r="1586" spans="10:10">
      <c r="J1586" s="13"/>
    </row>
    <row r="1587" spans="10:10">
      <c r="J1587" s="13"/>
    </row>
    <row r="1588" spans="10:10">
      <c r="J1588" s="13"/>
    </row>
    <row r="1589" spans="10:10">
      <c r="J1589" s="13"/>
    </row>
    <row r="1590" spans="10:10">
      <c r="J1590" s="13"/>
    </row>
    <row r="1591" spans="10:10">
      <c r="J1591" s="13"/>
    </row>
    <row r="1592" spans="10:10">
      <c r="J1592" s="13"/>
    </row>
    <row r="1593" spans="10:10">
      <c r="J1593" s="13"/>
    </row>
    <row r="1594" spans="10:10">
      <c r="J1594" s="13"/>
    </row>
    <row r="1595" spans="10:10">
      <c r="J1595" s="13"/>
    </row>
    <row r="1596" spans="10:10">
      <c r="J1596" s="13"/>
    </row>
    <row r="1597" spans="10:10">
      <c r="J1597" s="13"/>
    </row>
    <row r="1598" spans="10:10">
      <c r="J1598" s="13"/>
    </row>
    <row r="1599" spans="10:10">
      <c r="J1599" s="13"/>
    </row>
    <row r="1600" spans="10:10">
      <c r="J1600" s="13"/>
    </row>
    <row r="1601" spans="10:10">
      <c r="J1601" s="13"/>
    </row>
    <row r="1602" spans="10:10">
      <c r="J1602" s="13"/>
    </row>
    <row r="1603" spans="10:10">
      <c r="J1603" s="13"/>
    </row>
    <row r="1604" spans="10:10">
      <c r="J1604" s="13"/>
    </row>
    <row r="1605" spans="10:10">
      <c r="J1605" s="13"/>
    </row>
    <row r="1606" spans="10:10">
      <c r="J1606" s="13"/>
    </row>
    <row r="1607" spans="10:10">
      <c r="J1607" s="13"/>
    </row>
    <row r="1608" spans="10:10">
      <c r="J1608" s="13"/>
    </row>
    <row r="1609" spans="10:10">
      <c r="J1609" s="13"/>
    </row>
    <row r="1610" spans="10:10">
      <c r="J1610" s="13"/>
    </row>
    <row r="1611" spans="10:10">
      <c r="J1611" s="13"/>
    </row>
    <row r="1612" spans="10:10">
      <c r="J1612" s="13"/>
    </row>
    <row r="1613" spans="10:10">
      <c r="J1613" s="13"/>
    </row>
    <row r="1614" spans="10:10">
      <c r="J1614" s="13"/>
    </row>
    <row r="1615" spans="10:10">
      <c r="J1615" s="13"/>
    </row>
    <row r="1616" spans="10:10">
      <c r="J1616" s="13"/>
    </row>
    <row r="1617" spans="10:10">
      <c r="J1617" s="13"/>
    </row>
    <row r="1618" spans="10:10">
      <c r="J1618" s="13"/>
    </row>
    <row r="1619" spans="10:10">
      <c r="J1619" s="13"/>
    </row>
    <row r="1620" spans="10:10">
      <c r="J1620" s="13"/>
    </row>
    <row r="1621" spans="10:10">
      <c r="J1621" s="13"/>
    </row>
    <row r="1622" spans="10:10">
      <c r="J1622" s="13"/>
    </row>
    <row r="1623" spans="10:10">
      <c r="J1623" s="13"/>
    </row>
    <row r="1624" spans="10:10">
      <c r="J1624" s="13"/>
    </row>
    <row r="1625" spans="10:10">
      <c r="J1625" s="13"/>
    </row>
    <row r="1626" spans="10:10">
      <c r="J1626" s="13"/>
    </row>
    <row r="1627" spans="10:10">
      <c r="J1627" s="13"/>
    </row>
    <row r="1628" spans="10:10">
      <c r="J1628" s="13"/>
    </row>
    <row r="1629" spans="10:10">
      <c r="J1629" s="13"/>
    </row>
    <row r="1630" spans="10:10">
      <c r="J1630" s="13"/>
    </row>
    <row r="1631" spans="10:10">
      <c r="J1631" s="13"/>
    </row>
    <row r="1632" spans="10:10">
      <c r="J1632" s="13"/>
    </row>
    <row r="1633" spans="10:10">
      <c r="J1633" s="13"/>
    </row>
    <row r="1634" spans="10:10">
      <c r="J1634" s="13"/>
    </row>
    <row r="1635" spans="10:10">
      <c r="J1635" s="13"/>
    </row>
    <row r="1636" spans="10:10">
      <c r="J1636" s="13"/>
    </row>
    <row r="1637" spans="10:10">
      <c r="J1637" s="13"/>
    </row>
    <row r="1638" spans="10:10">
      <c r="J1638" s="13"/>
    </row>
    <row r="1639" spans="10:10">
      <c r="J1639" s="13"/>
    </row>
    <row r="1640" spans="10:10">
      <c r="J1640" s="13"/>
    </row>
    <row r="1641" spans="10:10">
      <c r="J1641" s="13"/>
    </row>
    <row r="1642" spans="10:10">
      <c r="J1642" s="13"/>
    </row>
    <row r="1643" spans="10:10">
      <c r="J1643" s="13"/>
    </row>
    <row r="1644" spans="10:10">
      <c r="J1644" s="13"/>
    </row>
    <row r="1645" spans="10:10">
      <c r="J1645" s="13"/>
    </row>
    <row r="1646" spans="10:10">
      <c r="J1646" s="13"/>
    </row>
    <row r="1647" spans="10:10">
      <c r="J1647" s="13"/>
    </row>
    <row r="1648" spans="10:10">
      <c r="J1648" s="13"/>
    </row>
    <row r="1649" spans="10:10">
      <c r="J1649" s="13"/>
    </row>
    <row r="1650" spans="10:10">
      <c r="J1650" s="13"/>
    </row>
    <row r="1651" spans="10:10">
      <c r="J1651" s="13"/>
    </row>
    <row r="1652" spans="10:10">
      <c r="J1652" s="13"/>
    </row>
    <row r="1653" spans="10:10">
      <c r="J1653" s="13"/>
    </row>
    <row r="1654" spans="10:10">
      <c r="J1654" s="13"/>
    </row>
    <row r="1655" spans="10:10">
      <c r="J1655" s="13"/>
    </row>
    <row r="1656" spans="10:10">
      <c r="J1656" s="13"/>
    </row>
    <row r="1657" spans="10:10">
      <c r="J1657" s="13"/>
    </row>
    <row r="1658" spans="10:10">
      <c r="J1658" s="13"/>
    </row>
    <row r="1659" spans="10:10">
      <c r="J1659" s="13"/>
    </row>
    <row r="1660" spans="10:10">
      <c r="J1660" s="13"/>
    </row>
    <row r="1661" spans="10:10">
      <c r="J1661" s="13"/>
    </row>
    <row r="1662" spans="10:10">
      <c r="J1662" s="13"/>
    </row>
    <row r="1663" spans="10:10">
      <c r="J1663" s="13"/>
    </row>
    <row r="1664" spans="10:10">
      <c r="J1664" s="13"/>
    </row>
    <row r="1665" spans="10:10">
      <c r="J1665" s="13"/>
    </row>
    <row r="1666" spans="10:10">
      <c r="J1666" s="13"/>
    </row>
    <row r="1667" spans="10:10">
      <c r="J1667" s="13"/>
    </row>
    <row r="1668" spans="10:10">
      <c r="J1668" s="13"/>
    </row>
    <row r="1669" spans="10:10">
      <c r="J1669" s="13"/>
    </row>
    <row r="1670" spans="10:10">
      <c r="J1670" s="13"/>
    </row>
    <row r="1671" spans="10:10">
      <c r="J1671" s="13"/>
    </row>
    <row r="1672" spans="10:10">
      <c r="J1672" s="13"/>
    </row>
    <row r="1673" spans="10:10">
      <c r="J1673" s="13"/>
    </row>
    <row r="1674" spans="10:10">
      <c r="J1674" s="13"/>
    </row>
    <row r="1675" spans="10:10">
      <c r="J1675" s="13"/>
    </row>
    <row r="1676" spans="10:10">
      <c r="J1676" s="13"/>
    </row>
    <row r="1677" spans="10:10">
      <c r="J1677" s="13"/>
    </row>
    <row r="1678" spans="10:10">
      <c r="J1678" s="13"/>
    </row>
    <row r="1679" spans="10:10">
      <c r="J1679" s="13"/>
    </row>
    <row r="1680" spans="10:10">
      <c r="J1680" s="13"/>
    </row>
    <row r="1681" spans="10:10">
      <c r="J1681" s="13"/>
    </row>
    <row r="1682" spans="10:10">
      <c r="J1682" s="13"/>
    </row>
    <row r="1683" spans="10:10">
      <c r="J1683" s="13"/>
    </row>
    <row r="1684" spans="10:10">
      <c r="J1684" s="13"/>
    </row>
    <row r="1685" spans="10:10">
      <c r="J1685" s="13"/>
    </row>
    <row r="1686" spans="10:10">
      <c r="J1686" s="13"/>
    </row>
    <row r="1687" spans="10:10">
      <c r="J1687" s="13"/>
    </row>
    <row r="1688" spans="10:10">
      <c r="J1688" s="13"/>
    </row>
    <row r="1689" spans="10:10">
      <c r="J1689" s="13"/>
    </row>
    <row r="1690" spans="10:10">
      <c r="J1690" s="13"/>
    </row>
    <row r="1691" spans="10:10">
      <c r="J1691" s="13"/>
    </row>
    <row r="1692" spans="10:10">
      <c r="J1692" s="13"/>
    </row>
    <row r="1693" spans="10:10">
      <c r="J1693" s="13"/>
    </row>
    <row r="1694" spans="10:10">
      <c r="J1694" s="13"/>
    </row>
    <row r="1695" spans="10:10">
      <c r="J1695" s="13"/>
    </row>
    <row r="1696" spans="10:10">
      <c r="J1696" s="13"/>
    </row>
    <row r="1697" spans="10:10">
      <c r="J1697" s="13"/>
    </row>
    <row r="1698" spans="10:10">
      <c r="J1698" s="13"/>
    </row>
    <row r="1699" spans="10:10">
      <c r="J1699" s="13"/>
    </row>
    <row r="1700" spans="10:10">
      <c r="J1700" s="13"/>
    </row>
    <row r="1701" spans="10:10">
      <c r="J1701" s="13"/>
    </row>
    <row r="1702" spans="10:10">
      <c r="J1702" s="13"/>
    </row>
    <row r="1703" spans="10:10">
      <c r="J1703" s="13"/>
    </row>
    <row r="1704" spans="10:10">
      <c r="J1704" s="13"/>
    </row>
    <row r="1705" spans="10:10">
      <c r="J1705" s="13"/>
    </row>
    <row r="1706" spans="10:10">
      <c r="J1706" s="13"/>
    </row>
    <row r="1707" spans="10:10">
      <c r="J1707" s="13"/>
    </row>
    <row r="1708" spans="10:10">
      <c r="J1708" s="13"/>
    </row>
    <row r="1709" spans="10:10">
      <c r="J1709" s="13"/>
    </row>
    <row r="1710" spans="10:10">
      <c r="J1710" s="13"/>
    </row>
    <row r="1711" spans="10:10">
      <c r="J1711" s="13"/>
    </row>
    <row r="1712" spans="10:10">
      <c r="J1712" s="13"/>
    </row>
    <row r="1713" spans="10:10">
      <c r="J1713" s="13"/>
    </row>
    <row r="1714" spans="10:10">
      <c r="J1714" s="13"/>
    </row>
    <row r="1715" spans="10:10">
      <c r="J1715" s="13"/>
    </row>
    <row r="1716" spans="10:10">
      <c r="J1716" s="13"/>
    </row>
    <row r="1717" spans="10:10">
      <c r="J1717" s="13"/>
    </row>
    <row r="1718" spans="10:10">
      <c r="J1718" s="13"/>
    </row>
    <row r="1719" spans="10:10">
      <c r="J1719" s="13"/>
    </row>
    <row r="1720" spans="10:10">
      <c r="J1720" s="13"/>
    </row>
    <row r="1721" spans="10:10">
      <c r="J1721" s="13"/>
    </row>
    <row r="1722" spans="10:10">
      <c r="J1722" s="13"/>
    </row>
    <row r="1723" spans="10:10">
      <c r="J1723" s="13"/>
    </row>
    <row r="1724" spans="10:10">
      <c r="J1724" s="13"/>
    </row>
    <row r="1725" spans="10:10">
      <c r="J1725" s="13"/>
    </row>
    <row r="1726" spans="10:10">
      <c r="J1726" s="13"/>
    </row>
    <row r="1727" spans="10:10">
      <c r="J1727" s="13"/>
    </row>
    <row r="1728" spans="10:10">
      <c r="J1728" s="13"/>
    </row>
    <row r="1729" spans="10:10">
      <c r="J1729" s="13"/>
    </row>
    <row r="1730" spans="10:10">
      <c r="J1730" s="13"/>
    </row>
    <row r="1731" spans="10:10">
      <c r="J1731" s="13"/>
    </row>
    <row r="1732" spans="10:10">
      <c r="J1732" s="13"/>
    </row>
    <row r="1733" spans="10:10">
      <c r="J1733" s="13"/>
    </row>
    <row r="1734" spans="10:10">
      <c r="J1734" s="13"/>
    </row>
    <row r="1735" spans="10:10">
      <c r="J1735" s="13"/>
    </row>
    <row r="1736" spans="10:10">
      <c r="J1736" s="13"/>
    </row>
    <row r="1737" spans="10:10">
      <c r="J1737" s="13"/>
    </row>
    <row r="1738" spans="10:10">
      <c r="J1738" s="13"/>
    </row>
    <row r="1739" spans="10:10">
      <c r="J1739" s="13"/>
    </row>
    <row r="1740" spans="10:10">
      <c r="J1740" s="13"/>
    </row>
    <row r="1741" spans="10:10">
      <c r="J1741" s="13"/>
    </row>
    <row r="1742" spans="10:10">
      <c r="J1742" s="13"/>
    </row>
    <row r="1743" spans="10:10">
      <c r="J1743" s="13"/>
    </row>
    <row r="1744" spans="10:10">
      <c r="J1744" s="13"/>
    </row>
    <row r="1745" spans="10:10">
      <c r="J1745" s="13"/>
    </row>
    <row r="1746" spans="10:10">
      <c r="J1746" s="13"/>
    </row>
    <row r="1747" spans="10:10">
      <c r="J1747" s="13"/>
    </row>
    <row r="1748" spans="10:10">
      <c r="J1748" s="13"/>
    </row>
    <row r="1749" spans="10:10">
      <c r="J1749" s="13"/>
    </row>
    <row r="1750" spans="10:10">
      <c r="J1750" s="13"/>
    </row>
    <row r="1751" spans="10:10">
      <c r="J1751" s="13"/>
    </row>
    <row r="1752" spans="10:10">
      <c r="J1752" s="13"/>
    </row>
    <row r="1753" spans="10:10">
      <c r="J1753" s="13"/>
    </row>
    <row r="1754" spans="10:10">
      <c r="J1754" s="13"/>
    </row>
    <row r="1755" spans="10:10">
      <c r="J1755" s="13"/>
    </row>
    <row r="1756" spans="10:10">
      <c r="J1756" s="13"/>
    </row>
    <row r="1757" spans="10:10">
      <c r="J1757" s="13"/>
    </row>
    <row r="1758" spans="10:10">
      <c r="J1758" s="13"/>
    </row>
    <row r="1759" spans="10:10">
      <c r="J1759" s="13"/>
    </row>
    <row r="1760" spans="10:10">
      <c r="J1760" s="13"/>
    </row>
    <row r="1761" spans="10:10">
      <c r="J1761" s="13"/>
    </row>
    <row r="1762" spans="10:10">
      <c r="J1762" s="13"/>
    </row>
    <row r="1763" spans="10:10">
      <c r="J1763" s="13"/>
    </row>
    <row r="1764" spans="10:10">
      <c r="J1764" s="13"/>
    </row>
    <row r="1765" spans="10:10">
      <c r="J1765" s="13"/>
    </row>
    <row r="1766" spans="10:10">
      <c r="J1766" s="13"/>
    </row>
    <row r="1767" spans="10:10">
      <c r="J1767" s="13"/>
    </row>
    <row r="1768" spans="10:10">
      <c r="J1768" s="13"/>
    </row>
    <row r="1769" spans="10:10">
      <c r="J1769" s="13"/>
    </row>
    <row r="1770" spans="10:10">
      <c r="J1770" s="13"/>
    </row>
    <row r="1771" spans="10:10">
      <c r="J1771" s="13"/>
    </row>
    <row r="1772" spans="10:10">
      <c r="J1772" s="13"/>
    </row>
    <row r="1773" spans="10:10">
      <c r="J1773" s="13"/>
    </row>
    <row r="1774" spans="10:10">
      <c r="J1774" s="13"/>
    </row>
    <row r="1775" spans="10:10">
      <c r="J1775" s="13"/>
    </row>
    <row r="1776" spans="10:10">
      <c r="J1776" s="13"/>
    </row>
    <row r="1777" spans="10:10">
      <c r="J1777" s="13"/>
    </row>
    <row r="1778" spans="10:10">
      <c r="J1778" s="13"/>
    </row>
    <row r="1779" spans="10:10">
      <c r="J1779" s="13"/>
    </row>
    <row r="4333" spans="3:7">
      <c r="C4333" s="14"/>
      <c r="G4333" s="15"/>
    </row>
    <row r="4334" spans="3:7">
      <c r="C4334" s="14"/>
      <c r="G4334" s="15"/>
    </row>
    <row r="4335" spans="3:7">
      <c r="C4335" s="14"/>
      <c r="G4335" s="15"/>
    </row>
    <row r="4336" spans="3:7">
      <c r="C4336" s="14"/>
      <c r="G4336" s="15"/>
    </row>
    <row r="4337" spans="3:7">
      <c r="C4337" s="14"/>
      <c r="G4337" s="15"/>
    </row>
    <row r="4338" spans="3:7">
      <c r="C4338" s="14"/>
      <c r="G4338" s="15"/>
    </row>
    <row r="4339" spans="3:7">
      <c r="C4339" s="14"/>
      <c r="G4339" s="15"/>
    </row>
    <row r="4340" spans="3:7">
      <c r="C4340" s="14"/>
      <c r="G4340" s="15"/>
    </row>
    <row r="4341" spans="3:7">
      <c r="C4341" s="14"/>
      <c r="G4341" s="15"/>
    </row>
    <row r="4342" spans="3:7">
      <c r="C4342" s="14"/>
      <c r="G4342" s="15"/>
    </row>
    <row r="4343" spans="3:7">
      <c r="C4343" s="14"/>
      <c r="G4343" s="15"/>
    </row>
    <row r="4344" spans="3:7">
      <c r="C4344" s="14"/>
      <c r="G4344" s="15"/>
    </row>
    <row r="4345" spans="3:7">
      <c r="C4345" s="14"/>
      <c r="G4345" s="15"/>
    </row>
    <row r="4346" spans="3:7">
      <c r="C4346" s="14"/>
      <c r="G4346" s="15"/>
    </row>
    <row r="4347" spans="3:7">
      <c r="C4347" s="14"/>
      <c r="G4347" s="15"/>
    </row>
    <row r="4348" spans="3:7">
      <c r="C4348" s="14"/>
      <c r="G4348" s="15"/>
    </row>
    <row r="4349" spans="3:7">
      <c r="C4349" s="14"/>
      <c r="G4349" s="15"/>
    </row>
    <row r="4350" spans="3:7">
      <c r="C4350" s="14"/>
      <c r="G4350" s="15"/>
    </row>
    <row r="4351" spans="3:7">
      <c r="C4351" s="14"/>
      <c r="G4351" s="15"/>
    </row>
    <row r="4352" spans="3:7">
      <c r="C4352" s="14"/>
      <c r="G4352" s="15"/>
    </row>
    <row r="4353" spans="3:7">
      <c r="C4353" s="14"/>
      <c r="G4353" s="15"/>
    </row>
    <row r="4354" spans="3:7">
      <c r="C4354" s="14"/>
      <c r="G4354" s="15"/>
    </row>
    <row r="4355" spans="3:7">
      <c r="C4355" s="14"/>
      <c r="G4355" s="15"/>
    </row>
    <row r="4356" spans="3:7">
      <c r="C4356" s="14"/>
      <c r="G4356" s="15"/>
    </row>
    <row r="4357" spans="3:7">
      <c r="C4357" s="14"/>
      <c r="G4357" s="15"/>
    </row>
    <row r="4358" spans="3:7">
      <c r="C4358" s="14"/>
      <c r="G4358" s="15"/>
    </row>
    <row r="4359" spans="3:7">
      <c r="C4359" s="14"/>
      <c r="G4359" s="15"/>
    </row>
    <row r="4360" spans="3:7">
      <c r="C4360" s="14"/>
      <c r="G4360" s="15"/>
    </row>
    <row r="4361" spans="3:7">
      <c r="C4361" s="14"/>
      <c r="G4361" s="15"/>
    </row>
    <row r="4362" spans="3:7">
      <c r="C4362" s="14"/>
      <c r="G4362" s="15"/>
    </row>
    <row r="4363" spans="3:7">
      <c r="C4363" s="14"/>
      <c r="G4363" s="15"/>
    </row>
    <row r="4364" spans="3:7">
      <c r="C4364" s="14"/>
      <c r="G4364" s="15"/>
    </row>
    <row r="4365" spans="3:7">
      <c r="C4365" s="14"/>
      <c r="G4365" s="15"/>
    </row>
    <row r="4366" spans="3:7">
      <c r="C4366" s="14"/>
      <c r="G4366" s="15"/>
    </row>
    <row r="4367" spans="3:7">
      <c r="C4367" s="14"/>
      <c r="G4367" s="15"/>
    </row>
    <row r="4368" spans="3:7">
      <c r="C4368" s="14"/>
      <c r="G4368" s="15"/>
    </row>
    <row r="4369" spans="3:7">
      <c r="C4369" s="14"/>
      <c r="G4369" s="15"/>
    </row>
    <row r="4370" spans="3:7">
      <c r="C4370" s="14"/>
      <c r="G4370" s="15"/>
    </row>
    <row r="4371" spans="3:7">
      <c r="C4371" s="14"/>
      <c r="G4371" s="15"/>
    </row>
    <row r="4372" spans="3:7">
      <c r="C4372" s="14"/>
      <c r="G4372" s="15"/>
    </row>
    <row r="4373" spans="3:7">
      <c r="C4373" s="14"/>
      <c r="G4373" s="15"/>
    </row>
    <row r="4374" spans="3:7">
      <c r="C4374" s="14"/>
      <c r="G4374" s="15"/>
    </row>
    <row r="4375" spans="3:7">
      <c r="C4375" s="14"/>
      <c r="G4375" s="15"/>
    </row>
    <row r="4376" spans="3:7">
      <c r="C4376" s="14"/>
      <c r="G4376" s="15"/>
    </row>
    <row r="4377" spans="3:7">
      <c r="C4377" s="14"/>
      <c r="G4377" s="15"/>
    </row>
    <row r="4378" spans="3:7">
      <c r="C4378" s="14"/>
      <c r="G4378" s="15"/>
    </row>
    <row r="4379" spans="3:7">
      <c r="C4379" s="14"/>
      <c r="G4379" s="15"/>
    </row>
    <row r="4380" spans="3:7">
      <c r="C4380" s="14"/>
      <c r="G4380" s="15"/>
    </row>
    <row r="4381" spans="3:7">
      <c r="C4381" s="14"/>
      <c r="G4381" s="15"/>
    </row>
    <row r="4382" spans="3:7">
      <c r="C4382" s="14"/>
      <c r="G4382" s="15"/>
    </row>
    <row r="4383" spans="3:7">
      <c r="C4383" s="14"/>
      <c r="G4383" s="15"/>
    </row>
    <row r="4384" spans="3:7">
      <c r="C4384" s="14"/>
      <c r="G4384" s="15"/>
    </row>
    <row r="4385" spans="3:7">
      <c r="C4385" s="14"/>
      <c r="G4385" s="15"/>
    </row>
    <row r="4386" spans="3:7">
      <c r="C4386" s="14"/>
      <c r="G4386" s="15"/>
    </row>
    <row r="4387" spans="3:7">
      <c r="C4387" s="14"/>
      <c r="G4387" s="15"/>
    </row>
    <row r="4388" spans="3:7">
      <c r="C4388" s="14"/>
      <c r="G4388" s="15"/>
    </row>
    <row r="4389" spans="3:7">
      <c r="C4389" s="14"/>
      <c r="G4389" s="15"/>
    </row>
    <row r="4390" spans="3:7">
      <c r="C4390" s="14"/>
      <c r="G4390" s="15"/>
    </row>
    <row r="4391" spans="3:7">
      <c r="C4391" s="14"/>
      <c r="G4391" s="15"/>
    </row>
    <row r="4392" spans="3:7">
      <c r="C4392" s="14"/>
      <c r="G4392" s="15"/>
    </row>
    <row r="4393" spans="3:7">
      <c r="C4393" s="14"/>
      <c r="G4393" s="15"/>
    </row>
    <row r="4394" spans="3:7">
      <c r="C4394" s="14"/>
      <c r="G4394" s="15"/>
    </row>
    <row r="4395" spans="3:7">
      <c r="C4395" s="14"/>
      <c r="G4395" s="15"/>
    </row>
    <row r="4396" spans="3:7">
      <c r="C4396" s="14"/>
      <c r="G4396" s="15"/>
    </row>
    <row r="4397" spans="3:7">
      <c r="C4397" s="14"/>
      <c r="G4397" s="15"/>
    </row>
    <row r="4398" spans="3:7">
      <c r="C4398" s="14"/>
      <c r="G4398" s="15"/>
    </row>
    <row r="4399" spans="3:7">
      <c r="C4399" s="14"/>
      <c r="G4399" s="15"/>
    </row>
    <row r="4400" spans="3:7">
      <c r="C4400" s="14"/>
      <c r="G4400" s="15"/>
    </row>
    <row r="4401" spans="3:7">
      <c r="C4401" s="14"/>
      <c r="G4401" s="15"/>
    </row>
    <row r="4402" spans="3:7">
      <c r="C4402" s="14"/>
      <c r="G4402" s="15"/>
    </row>
    <row r="4403" spans="3:7">
      <c r="C4403" s="14"/>
      <c r="G4403" s="15"/>
    </row>
    <row r="4404" spans="3:7">
      <c r="C4404" s="14"/>
      <c r="G4404" s="15"/>
    </row>
    <row r="4405" spans="3:7">
      <c r="C4405" s="14"/>
      <c r="G4405" s="15"/>
    </row>
    <row r="4406" spans="3:7">
      <c r="C4406" s="14"/>
      <c r="G4406" s="15"/>
    </row>
    <row r="4407" spans="3:7">
      <c r="C4407" s="14"/>
      <c r="G4407" s="15"/>
    </row>
    <row r="4408" spans="3:7">
      <c r="C4408" s="14"/>
      <c r="G4408" s="15"/>
    </row>
    <row r="4409" spans="3:7">
      <c r="C4409" s="14"/>
      <c r="G4409" s="15"/>
    </row>
    <row r="4410" spans="3:7">
      <c r="C4410" s="14"/>
      <c r="G4410" s="15"/>
    </row>
    <row r="4411" spans="3:7">
      <c r="C4411" s="14"/>
      <c r="G4411" s="15"/>
    </row>
    <row r="4412" spans="3:7">
      <c r="C4412" s="14"/>
      <c r="G4412" s="15"/>
    </row>
    <row r="4413" spans="3:7">
      <c r="C4413" s="14"/>
      <c r="G4413" s="15"/>
    </row>
    <row r="4414" spans="3:7">
      <c r="C4414" s="14"/>
      <c r="G4414" s="15"/>
    </row>
    <row r="4415" spans="3:7">
      <c r="C4415" s="14"/>
      <c r="G4415" s="15"/>
    </row>
    <row r="4416" spans="3:7">
      <c r="C4416" s="14"/>
      <c r="G4416" s="15"/>
    </row>
    <row r="4417" spans="3:7">
      <c r="C4417" s="14"/>
      <c r="G4417" s="15"/>
    </row>
    <row r="4418" spans="3:7">
      <c r="C4418" s="14"/>
      <c r="G4418" s="15"/>
    </row>
    <row r="4419" spans="3:7">
      <c r="C4419" s="14"/>
      <c r="G4419" s="15"/>
    </row>
    <row r="4420" spans="3:7">
      <c r="C4420" s="14"/>
      <c r="G4420" s="15"/>
    </row>
    <row r="4421" spans="3:7">
      <c r="C4421" s="14"/>
      <c r="G4421" s="15"/>
    </row>
    <row r="4422" spans="3:7">
      <c r="C4422" s="14"/>
      <c r="G4422" s="15"/>
    </row>
    <row r="4423" spans="3:7">
      <c r="C4423" s="14"/>
      <c r="G4423" s="15"/>
    </row>
    <row r="4424" spans="3:7">
      <c r="C4424" s="14"/>
      <c r="G4424" s="15"/>
    </row>
    <row r="4425" spans="3:7">
      <c r="C4425" s="14"/>
      <c r="G4425" s="15"/>
    </row>
    <row r="4426" spans="3:7">
      <c r="C4426" s="14"/>
      <c r="G4426" s="15"/>
    </row>
    <row r="4427" spans="3:7">
      <c r="C4427" s="14"/>
      <c r="G4427" s="15"/>
    </row>
    <row r="4428" spans="3:7">
      <c r="C4428" s="14"/>
      <c r="G4428" s="15"/>
    </row>
    <row r="4429" spans="3:7">
      <c r="C4429" s="14"/>
      <c r="G4429" s="15"/>
    </row>
    <row r="4430" spans="3:7">
      <c r="C4430" s="14"/>
      <c r="G4430" s="15"/>
    </row>
    <row r="4431" spans="3:7">
      <c r="C4431" s="14"/>
      <c r="G4431" s="15"/>
    </row>
    <row r="4432" spans="3:7">
      <c r="C4432" s="14"/>
      <c r="G4432" s="15"/>
    </row>
    <row r="4433" spans="3:7">
      <c r="C4433" s="14"/>
      <c r="G4433" s="15"/>
    </row>
    <row r="4434" spans="3:7">
      <c r="C4434" s="14"/>
      <c r="G4434" s="15"/>
    </row>
    <row r="4435" spans="3:7">
      <c r="C4435" s="14"/>
      <c r="G4435" s="15"/>
    </row>
    <row r="4436" spans="3:7">
      <c r="C4436" s="14"/>
      <c r="G4436" s="15"/>
    </row>
    <row r="4437" spans="3:7">
      <c r="C4437" s="14"/>
      <c r="G4437" s="15"/>
    </row>
    <row r="4438" spans="3:7">
      <c r="C4438" s="14"/>
      <c r="G4438" s="15"/>
    </row>
    <row r="4439" spans="3:7">
      <c r="C4439" s="14"/>
      <c r="G4439" s="15"/>
    </row>
    <row r="4440" spans="3:7">
      <c r="C4440" s="14"/>
      <c r="G4440" s="15"/>
    </row>
    <row r="4441" spans="3:7">
      <c r="C4441" s="14"/>
      <c r="G4441" s="15"/>
    </row>
    <row r="4442" spans="3:7">
      <c r="C4442" s="14"/>
      <c r="G4442" s="15"/>
    </row>
    <row r="4443" spans="3:7">
      <c r="C4443" s="14"/>
      <c r="G4443" s="15"/>
    </row>
    <row r="4444" spans="3:7">
      <c r="C4444" s="14"/>
      <c r="G4444" s="15"/>
    </row>
    <row r="4445" spans="3:7">
      <c r="C4445" s="14"/>
      <c r="G4445" s="15"/>
    </row>
    <row r="4446" spans="3:7">
      <c r="C4446" s="14"/>
      <c r="G4446" s="15"/>
    </row>
    <row r="4447" spans="3:7">
      <c r="C4447" s="14"/>
      <c r="G4447" s="15"/>
    </row>
    <row r="4448" spans="3:7">
      <c r="C4448" s="14"/>
      <c r="G4448" s="15"/>
    </row>
    <row r="4449" spans="3:7">
      <c r="C4449" s="14"/>
      <c r="G4449" s="15"/>
    </row>
    <row r="4450" spans="3:7">
      <c r="C4450" s="14"/>
      <c r="G4450" s="15"/>
    </row>
    <row r="4451" spans="3:7">
      <c r="C4451" s="14"/>
      <c r="G4451" s="15"/>
    </row>
    <row r="4452" spans="3:7">
      <c r="C4452" s="14"/>
      <c r="G4452" s="15"/>
    </row>
    <row r="4453" spans="3:7">
      <c r="C4453" s="14"/>
      <c r="G4453" s="15"/>
    </row>
    <row r="4454" spans="3:7">
      <c r="C4454" s="14"/>
      <c r="G4454" s="15"/>
    </row>
    <row r="4455" spans="3:7">
      <c r="C4455" s="14"/>
      <c r="G4455" s="15"/>
    </row>
    <row r="4456" spans="3:7">
      <c r="C4456" s="14"/>
      <c r="G4456" s="15"/>
    </row>
    <row r="4457" spans="3:7">
      <c r="C4457" s="14"/>
      <c r="G4457" s="15"/>
    </row>
    <row r="4458" spans="3:7">
      <c r="C4458" s="14"/>
      <c r="G4458" s="15"/>
    </row>
    <row r="4459" spans="3:7">
      <c r="C4459" s="14"/>
      <c r="G4459" s="15"/>
    </row>
    <row r="4460" spans="3:7">
      <c r="C4460" s="14"/>
      <c r="G4460" s="15"/>
    </row>
    <row r="4461" spans="3:7">
      <c r="C4461" s="14"/>
      <c r="G4461" s="15"/>
    </row>
    <row r="4462" spans="3:7">
      <c r="C4462" s="14"/>
      <c r="G4462" s="15"/>
    </row>
    <row r="4463" spans="3:7">
      <c r="C4463" s="14"/>
      <c r="G4463" s="15"/>
    </row>
    <row r="4464" spans="3:7">
      <c r="C4464" s="14"/>
      <c r="G4464" s="15"/>
    </row>
    <row r="4465" spans="3:7">
      <c r="C4465" s="14"/>
      <c r="G4465" s="15"/>
    </row>
    <row r="4466" spans="3:7">
      <c r="C4466" s="14"/>
      <c r="G4466" s="15"/>
    </row>
    <row r="4467" spans="3:7">
      <c r="C4467" s="14"/>
      <c r="G4467" s="15"/>
    </row>
    <row r="4468" spans="3:7">
      <c r="C4468" s="14"/>
      <c r="G4468" s="15"/>
    </row>
    <row r="4469" spans="3:7">
      <c r="C4469" s="14"/>
      <c r="G4469" s="15"/>
    </row>
    <row r="4470" spans="3:7">
      <c r="C4470" s="14"/>
      <c r="G4470" s="15"/>
    </row>
    <row r="4471" spans="3:7">
      <c r="C4471" s="14"/>
      <c r="G4471" s="15"/>
    </row>
    <row r="4472" spans="3:7">
      <c r="C4472" s="14"/>
      <c r="G4472" s="15"/>
    </row>
    <row r="4473" spans="3:7">
      <c r="C4473" s="14"/>
      <c r="G4473" s="15"/>
    </row>
    <row r="4474" spans="3:7">
      <c r="C4474" s="14"/>
      <c r="G4474" s="15"/>
    </row>
    <row r="4475" spans="3:7">
      <c r="C4475" s="14"/>
      <c r="G4475" s="15"/>
    </row>
    <row r="4476" spans="3:7">
      <c r="C4476" s="14"/>
      <c r="G4476" s="15"/>
    </row>
    <row r="4477" spans="3:7">
      <c r="C4477" s="14"/>
      <c r="G4477" s="15"/>
    </row>
    <row r="4478" spans="3:7">
      <c r="C4478" s="14"/>
      <c r="G4478" s="15"/>
    </row>
    <row r="4479" spans="3:7">
      <c r="C4479" s="14"/>
      <c r="G4479" s="15"/>
    </row>
    <row r="4480" spans="3:7">
      <c r="C4480" s="14"/>
      <c r="G4480" s="15"/>
    </row>
    <row r="4481" spans="3:7">
      <c r="C4481" s="14"/>
      <c r="G4481" s="15"/>
    </row>
    <row r="4482" spans="3:7">
      <c r="C4482" s="14"/>
      <c r="G4482" s="15"/>
    </row>
    <row r="4483" spans="3:7">
      <c r="C4483" s="14"/>
      <c r="G4483" s="15"/>
    </row>
    <row r="4484" spans="3:7">
      <c r="C4484" s="14"/>
      <c r="G4484" s="15"/>
    </row>
    <row r="4485" spans="3:7">
      <c r="C4485" s="14"/>
      <c r="G4485" s="15"/>
    </row>
    <row r="4486" spans="3:7">
      <c r="C4486" s="14"/>
      <c r="G4486" s="15"/>
    </row>
    <row r="4487" spans="3:7">
      <c r="C4487" s="14"/>
      <c r="G4487" s="15"/>
    </row>
    <row r="4488" spans="3:7">
      <c r="C4488" s="14"/>
      <c r="G4488" s="15"/>
    </row>
    <row r="4489" spans="3:7">
      <c r="C4489" s="14"/>
      <c r="G4489" s="15"/>
    </row>
    <row r="4490" spans="3:7">
      <c r="C4490" s="14"/>
      <c r="G4490" s="15"/>
    </row>
    <row r="4491" spans="3:7">
      <c r="C4491" s="14"/>
      <c r="G4491" s="15"/>
    </row>
    <row r="4492" spans="3:7">
      <c r="C4492" s="14"/>
      <c r="G4492" s="15"/>
    </row>
    <row r="4493" spans="3:7">
      <c r="C4493" s="14"/>
      <c r="G4493" s="15"/>
    </row>
    <row r="4494" spans="3:7">
      <c r="C4494" s="14"/>
      <c r="G4494" s="15"/>
    </row>
    <row r="4495" spans="3:7">
      <c r="C4495" s="14"/>
      <c r="G4495" s="15"/>
    </row>
    <row r="4496" spans="3:7">
      <c r="C4496" s="14"/>
      <c r="G4496" s="15"/>
    </row>
    <row r="4497" spans="3:7">
      <c r="C4497" s="14"/>
      <c r="G4497" s="15"/>
    </row>
    <row r="4498" spans="3:7">
      <c r="C4498" s="14"/>
      <c r="G4498" s="15"/>
    </row>
    <row r="4499" spans="3:7">
      <c r="C4499" s="14"/>
      <c r="G4499" s="15"/>
    </row>
    <row r="4500" spans="3:7">
      <c r="C4500" s="14"/>
      <c r="G4500" s="15"/>
    </row>
    <row r="4501" spans="3:7">
      <c r="C4501" s="14"/>
      <c r="G4501" s="15"/>
    </row>
    <row r="4502" spans="3:7">
      <c r="C4502" s="14"/>
      <c r="G4502" s="15"/>
    </row>
    <row r="4503" spans="3:7">
      <c r="C4503" s="14"/>
      <c r="G4503" s="15"/>
    </row>
    <row r="4504" spans="3:7">
      <c r="C4504" s="14"/>
      <c r="G4504" s="15"/>
    </row>
    <row r="4505" spans="3:7">
      <c r="C4505" s="14"/>
      <c r="G4505" s="15"/>
    </row>
    <row r="4506" spans="3:7">
      <c r="C4506" s="14"/>
      <c r="G4506" s="15"/>
    </row>
    <row r="4507" spans="3:7">
      <c r="C4507" s="14"/>
      <c r="G4507" s="15"/>
    </row>
    <row r="4508" spans="3:7">
      <c r="C4508" s="14"/>
      <c r="G4508" s="15"/>
    </row>
    <row r="4509" spans="3:7">
      <c r="C4509" s="14"/>
      <c r="G4509" s="15"/>
    </row>
    <row r="4510" spans="3:7">
      <c r="C4510" s="14"/>
      <c r="G4510" s="15"/>
    </row>
    <row r="4511" spans="3:7">
      <c r="C4511" s="14"/>
      <c r="G4511" s="15"/>
    </row>
    <row r="4512" spans="3:7">
      <c r="C4512" s="14"/>
      <c r="G4512" s="15"/>
    </row>
    <row r="4513" spans="3:7">
      <c r="C4513" s="14"/>
      <c r="G4513" s="15"/>
    </row>
    <row r="4514" spans="3:7">
      <c r="C4514" s="14"/>
      <c r="G4514" s="15"/>
    </row>
    <row r="4515" spans="3:7">
      <c r="C4515" s="14"/>
      <c r="G4515" s="15"/>
    </row>
    <row r="4516" spans="3:7">
      <c r="C4516" s="14"/>
      <c r="G4516" s="15"/>
    </row>
    <row r="4517" spans="3:7">
      <c r="C4517" s="14"/>
      <c r="G4517" s="15"/>
    </row>
    <row r="4518" spans="3:7">
      <c r="C4518" s="14"/>
      <c r="G4518" s="15"/>
    </row>
    <row r="4519" spans="3:7">
      <c r="C4519" s="14"/>
      <c r="G4519" s="15"/>
    </row>
    <row r="4520" spans="3:7">
      <c r="C4520" s="14"/>
      <c r="G4520" s="15"/>
    </row>
    <row r="4521" spans="3:7">
      <c r="C4521" s="14"/>
      <c r="G4521" s="15"/>
    </row>
    <row r="4522" spans="3:7">
      <c r="C4522" s="14"/>
      <c r="G4522" s="15"/>
    </row>
    <row r="4523" spans="3:7">
      <c r="C4523" s="14"/>
      <c r="G4523" s="15"/>
    </row>
    <row r="4524" spans="3:7">
      <c r="C4524" s="14"/>
      <c r="G4524" s="15"/>
    </row>
    <row r="4525" spans="3:7">
      <c r="C4525" s="14"/>
      <c r="G4525" s="15"/>
    </row>
    <row r="4526" spans="3:7">
      <c r="C4526" s="14"/>
      <c r="G4526" s="15"/>
    </row>
    <row r="4527" spans="3:7">
      <c r="C4527" s="14"/>
      <c r="G4527" s="15"/>
    </row>
    <row r="4528" spans="3:7">
      <c r="C4528" s="14"/>
      <c r="G4528" s="15"/>
    </row>
    <row r="4529" spans="3:7">
      <c r="C4529" s="14"/>
      <c r="G4529" s="15"/>
    </row>
    <row r="4530" spans="3:7">
      <c r="C4530" s="14"/>
      <c r="G4530" s="15"/>
    </row>
    <row r="4531" spans="3:7">
      <c r="C4531" s="14"/>
      <c r="G4531" s="15"/>
    </row>
    <row r="4532" spans="3:7">
      <c r="C4532" s="14"/>
      <c r="G4532" s="15"/>
    </row>
    <row r="4533" spans="3:7">
      <c r="C4533" s="14"/>
      <c r="G4533" s="15"/>
    </row>
    <row r="4534" spans="3:7">
      <c r="C4534" s="14"/>
      <c r="G4534" s="15"/>
    </row>
    <row r="4535" spans="3:7">
      <c r="C4535" s="14"/>
      <c r="G4535" s="15"/>
    </row>
    <row r="4536" spans="3:7">
      <c r="C4536" s="14"/>
      <c r="G4536" s="15"/>
    </row>
    <row r="4537" spans="3:7">
      <c r="C4537" s="14"/>
      <c r="G4537" s="15"/>
    </row>
    <row r="4538" spans="3:7">
      <c r="C4538" s="14"/>
      <c r="G4538" s="15"/>
    </row>
    <row r="4539" spans="3:7">
      <c r="C4539" s="14"/>
      <c r="G4539" s="15"/>
    </row>
    <row r="4540" spans="3:7">
      <c r="C4540" s="14"/>
      <c r="G4540" s="15"/>
    </row>
    <row r="4541" spans="3:7">
      <c r="C4541" s="14"/>
      <c r="G4541" s="15"/>
    </row>
    <row r="4542" spans="3:7">
      <c r="C4542" s="14"/>
      <c r="G4542" s="15"/>
    </row>
    <row r="4543" spans="3:7">
      <c r="C4543" s="14"/>
      <c r="G4543" s="15"/>
    </row>
    <row r="4544" spans="3:7">
      <c r="C4544" s="14"/>
      <c r="G4544" s="15"/>
    </row>
    <row r="4545" spans="3:7">
      <c r="C4545" s="14"/>
      <c r="G4545" s="15"/>
    </row>
    <row r="4546" spans="3:7">
      <c r="C4546" s="14"/>
      <c r="G4546" s="15"/>
    </row>
    <row r="4547" spans="3:7">
      <c r="C4547" s="14"/>
      <c r="G4547" s="15"/>
    </row>
    <row r="4548" spans="3:7">
      <c r="C4548" s="14"/>
      <c r="G4548" s="15"/>
    </row>
    <row r="4549" spans="3:7">
      <c r="C4549" s="14"/>
      <c r="G4549" s="15"/>
    </row>
    <row r="4550" spans="3:7">
      <c r="C4550" s="14"/>
      <c r="G4550" s="15"/>
    </row>
    <row r="4551" spans="3:7">
      <c r="C4551" s="14"/>
      <c r="G4551" s="15"/>
    </row>
    <row r="4552" spans="3:7">
      <c r="C4552" s="14"/>
      <c r="G4552" s="15"/>
    </row>
    <row r="4553" spans="3:7">
      <c r="C4553" s="14"/>
      <c r="G4553" s="15"/>
    </row>
    <row r="4554" spans="3:7">
      <c r="C4554" s="14"/>
      <c r="G4554" s="15"/>
    </row>
    <row r="4555" spans="3:7">
      <c r="C4555" s="14"/>
      <c r="G4555" s="15"/>
    </row>
    <row r="4556" spans="3:7">
      <c r="C4556" s="14"/>
      <c r="G4556" s="15"/>
    </row>
    <row r="4557" spans="3:7">
      <c r="C4557" s="14"/>
      <c r="G4557" s="15"/>
    </row>
    <row r="4558" spans="3:7">
      <c r="C4558" s="14"/>
      <c r="G4558" s="15"/>
    </row>
    <row r="4559" spans="3:7">
      <c r="C4559" s="14"/>
      <c r="G4559" s="15"/>
    </row>
    <row r="4560" spans="3:7">
      <c r="C4560" s="14"/>
      <c r="G4560" s="15"/>
    </row>
    <row r="4561" spans="3:7">
      <c r="C4561" s="14"/>
      <c r="G4561" s="15"/>
    </row>
    <row r="4562" spans="3:7">
      <c r="C4562" s="14"/>
      <c r="G4562" s="15"/>
    </row>
    <row r="4563" spans="3:7">
      <c r="C4563" s="14"/>
      <c r="G4563" s="15"/>
    </row>
    <row r="4564" spans="3:7">
      <c r="C4564" s="14"/>
      <c r="G4564" s="15"/>
    </row>
    <row r="4565" spans="3:7">
      <c r="C4565" s="14"/>
      <c r="G4565" s="15"/>
    </row>
    <row r="4566" spans="3:7">
      <c r="C4566" s="14"/>
      <c r="G4566" s="15"/>
    </row>
    <row r="4567" spans="3:7">
      <c r="C4567" s="14"/>
      <c r="G4567" s="15"/>
    </row>
    <row r="4568" spans="3:7">
      <c r="C4568" s="14"/>
      <c r="G4568" s="15"/>
    </row>
    <row r="4569" spans="3:7">
      <c r="C4569" s="14"/>
      <c r="G4569" s="15"/>
    </row>
    <row r="4570" spans="3:7">
      <c r="C4570" s="14"/>
      <c r="G4570" s="15"/>
    </row>
    <row r="4571" spans="3:7">
      <c r="C4571" s="14"/>
      <c r="G4571" s="15"/>
    </row>
    <row r="4572" spans="3:7">
      <c r="C4572" s="14"/>
      <c r="G4572" s="15"/>
    </row>
    <row r="4573" spans="3:7">
      <c r="C4573" s="14"/>
      <c r="G4573" s="15"/>
    </row>
    <row r="4574" spans="3:7">
      <c r="C4574" s="14"/>
      <c r="G4574" s="15"/>
    </row>
    <row r="4575" spans="3:7">
      <c r="C4575" s="14"/>
      <c r="G4575" s="15"/>
    </row>
    <row r="4576" spans="3:7">
      <c r="C4576" s="14"/>
      <c r="G4576" s="15"/>
    </row>
    <row r="4577" spans="3:7">
      <c r="C4577" s="14"/>
      <c r="G4577" s="15"/>
    </row>
    <row r="4578" spans="3:7">
      <c r="C4578" s="14"/>
      <c r="G4578" s="15"/>
    </row>
    <row r="4579" spans="3:7">
      <c r="C4579" s="14"/>
      <c r="G4579" s="15"/>
    </row>
    <row r="4580" spans="3:7">
      <c r="C4580" s="14"/>
      <c r="G4580" s="15"/>
    </row>
    <row r="4581" spans="3:7">
      <c r="C4581" s="14"/>
      <c r="G4581" s="15"/>
    </row>
    <row r="4582" spans="3:7">
      <c r="C4582" s="14"/>
      <c r="G4582" s="15"/>
    </row>
    <row r="4583" spans="3:7">
      <c r="C4583" s="14"/>
      <c r="G4583" s="15"/>
    </row>
    <row r="4584" spans="3:7">
      <c r="C4584" s="14"/>
      <c r="G4584" s="15"/>
    </row>
    <row r="4585" spans="3:7">
      <c r="C4585" s="14"/>
      <c r="G4585" s="15"/>
    </row>
    <row r="4586" spans="3:7">
      <c r="C4586" s="14"/>
      <c r="G4586" s="15"/>
    </row>
    <row r="4587" spans="3:7">
      <c r="C4587" s="14"/>
      <c r="G4587" s="15"/>
    </row>
    <row r="4588" spans="3:7">
      <c r="C4588" s="14"/>
      <c r="G4588" s="15"/>
    </row>
    <row r="4589" spans="3:7">
      <c r="C4589" s="14"/>
      <c r="G4589" s="15"/>
    </row>
    <row r="4590" spans="3:7">
      <c r="C4590" s="14"/>
      <c r="G4590" s="15"/>
    </row>
    <row r="4591" spans="3:7">
      <c r="C4591" s="14"/>
      <c r="G4591" s="15"/>
    </row>
    <row r="4592" spans="3:7">
      <c r="C4592" s="14"/>
      <c r="G4592" s="15"/>
    </row>
    <row r="4593" spans="3:7">
      <c r="C4593" s="14"/>
      <c r="G4593" s="15"/>
    </row>
    <row r="4594" spans="3:7">
      <c r="C4594" s="14"/>
      <c r="G4594" s="15"/>
    </row>
    <row r="4595" spans="3:7">
      <c r="C4595" s="14"/>
      <c r="G4595" s="15"/>
    </row>
    <row r="4596" spans="3:7">
      <c r="C4596" s="14"/>
      <c r="G4596" s="15"/>
    </row>
    <row r="4597" spans="3:7">
      <c r="C4597" s="14"/>
      <c r="G4597" s="15"/>
    </row>
    <row r="4598" spans="3:7">
      <c r="C4598" s="14"/>
      <c r="G4598" s="15"/>
    </row>
    <row r="4599" spans="3:7">
      <c r="C4599" s="14"/>
      <c r="G4599" s="15"/>
    </row>
    <row r="4600" spans="3:7">
      <c r="C4600" s="14"/>
      <c r="G4600" s="15"/>
    </row>
    <row r="4601" spans="3:7">
      <c r="C4601" s="14"/>
      <c r="G4601" s="15"/>
    </row>
    <row r="4602" spans="3:7">
      <c r="C4602" s="14"/>
      <c r="G4602" s="15"/>
    </row>
    <row r="4603" spans="3:7">
      <c r="C4603" s="14"/>
      <c r="G4603" s="15"/>
    </row>
    <row r="4604" spans="3:7">
      <c r="C4604" s="14"/>
      <c r="G4604" s="15"/>
    </row>
    <row r="4605" spans="3:7">
      <c r="C4605" s="14"/>
      <c r="G4605" s="15"/>
    </row>
    <row r="4606" spans="3:7">
      <c r="C4606" s="14"/>
      <c r="G4606" s="15"/>
    </row>
    <row r="4607" spans="3:7">
      <c r="C4607" s="14"/>
      <c r="G4607" s="15"/>
    </row>
    <row r="4608" spans="3:7">
      <c r="C4608" s="14"/>
      <c r="G4608" s="15"/>
    </row>
    <row r="4609" spans="3:7">
      <c r="C4609" s="14"/>
      <c r="G4609" s="15"/>
    </row>
    <row r="4610" spans="3:7">
      <c r="C4610" s="14"/>
      <c r="G4610" s="15"/>
    </row>
    <row r="4611" spans="3:7">
      <c r="C4611" s="14"/>
      <c r="G4611" s="15"/>
    </row>
    <row r="4612" spans="3:7">
      <c r="C4612" s="14"/>
      <c r="G4612" s="15"/>
    </row>
    <row r="4613" spans="3:7">
      <c r="C4613" s="14"/>
      <c r="G4613" s="15"/>
    </row>
    <row r="4614" spans="3:7">
      <c r="C4614" s="14"/>
      <c r="G4614" s="15"/>
    </row>
    <row r="4615" spans="3:7">
      <c r="C4615" s="14"/>
      <c r="G4615" s="15"/>
    </row>
    <row r="4616" spans="3:7">
      <c r="C4616" s="14"/>
      <c r="G4616" s="15"/>
    </row>
    <row r="4617" spans="3:7">
      <c r="C4617" s="14"/>
      <c r="G4617" s="15"/>
    </row>
    <row r="4618" spans="3:7">
      <c r="C4618" s="14"/>
      <c r="G4618" s="15"/>
    </row>
    <row r="4619" spans="3:7">
      <c r="C4619" s="14"/>
      <c r="G4619" s="15"/>
    </row>
    <row r="4620" spans="3:7">
      <c r="C4620" s="14"/>
      <c r="G4620" s="15"/>
    </row>
    <row r="4621" spans="3:7">
      <c r="C4621" s="14"/>
      <c r="G4621" s="15"/>
    </row>
    <row r="4622" spans="3:7">
      <c r="C4622" s="14"/>
      <c r="G4622" s="15"/>
    </row>
    <row r="4623" spans="3:7">
      <c r="C4623" s="14"/>
      <c r="G4623" s="15"/>
    </row>
    <row r="4624" spans="3:7">
      <c r="C4624" s="14"/>
      <c r="G4624" s="15"/>
    </row>
    <row r="4625" spans="3:7">
      <c r="C4625" s="14"/>
      <c r="G4625" s="15"/>
    </row>
    <row r="4626" spans="3:7">
      <c r="C4626" s="14"/>
      <c r="G4626" s="15"/>
    </row>
    <row r="4627" spans="3:7">
      <c r="C4627" s="14"/>
      <c r="G4627" s="15"/>
    </row>
    <row r="4628" spans="3:7">
      <c r="C4628" s="14"/>
      <c r="G4628" s="15"/>
    </row>
    <row r="4629" spans="3:7">
      <c r="C4629" s="14"/>
      <c r="G4629" s="15"/>
    </row>
    <row r="4630" spans="3:7">
      <c r="C4630" s="14"/>
      <c r="G4630" s="15"/>
    </row>
    <row r="4631" spans="3:7">
      <c r="C4631" s="14"/>
      <c r="G4631" s="15"/>
    </row>
    <row r="4632" spans="3:7">
      <c r="C4632" s="14"/>
      <c r="G4632" s="15"/>
    </row>
    <row r="4633" spans="3:7">
      <c r="C4633" s="14"/>
      <c r="G4633" s="15"/>
    </row>
    <row r="4634" spans="3:7">
      <c r="C4634" s="14"/>
      <c r="G4634" s="15"/>
    </row>
    <row r="4635" spans="3:7">
      <c r="C4635" s="14"/>
      <c r="G4635" s="15"/>
    </row>
    <row r="4636" spans="3:7">
      <c r="C4636" s="14"/>
      <c r="G4636" s="15"/>
    </row>
    <row r="4637" spans="3:7">
      <c r="C4637" s="14"/>
      <c r="G4637" s="15"/>
    </row>
    <row r="4638" spans="3:7">
      <c r="C4638" s="14"/>
      <c r="G4638" s="15"/>
    </row>
    <row r="4639" spans="3:7">
      <c r="C4639" s="14"/>
      <c r="G4639" s="15"/>
    </row>
    <row r="4640" spans="3:7">
      <c r="C4640" s="14"/>
      <c r="G4640" s="15"/>
    </row>
    <row r="4641" spans="3:7">
      <c r="C4641" s="14"/>
      <c r="G4641" s="15"/>
    </row>
    <row r="4642" spans="3:7">
      <c r="C4642" s="14"/>
      <c r="G4642" s="15"/>
    </row>
    <row r="4643" spans="3:7">
      <c r="C4643" s="14"/>
      <c r="G4643" s="15"/>
    </row>
    <row r="4644" spans="3:7">
      <c r="C4644" s="14"/>
      <c r="G4644" s="15"/>
    </row>
    <row r="4645" spans="3:7">
      <c r="C4645" s="14"/>
      <c r="G4645" s="15"/>
    </row>
    <row r="4646" spans="3:7">
      <c r="C4646" s="14"/>
      <c r="G4646" s="15"/>
    </row>
    <row r="4647" spans="3:7">
      <c r="C4647" s="14"/>
      <c r="G4647" s="15"/>
    </row>
    <row r="4648" spans="3:7">
      <c r="C4648" s="14"/>
      <c r="G4648" s="15"/>
    </row>
    <row r="4649" spans="3:7">
      <c r="C4649" s="14"/>
      <c r="G4649" s="15"/>
    </row>
    <row r="4650" spans="3:7">
      <c r="C4650" s="14"/>
      <c r="G4650" s="15"/>
    </row>
    <row r="4651" spans="3:7">
      <c r="C4651" s="14"/>
      <c r="G4651" s="15"/>
    </row>
    <row r="4652" spans="3:7">
      <c r="C4652" s="14"/>
      <c r="G4652" s="15"/>
    </row>
    <row r="4653" spans="3:7">
      <c r="C4653" s="14"/>
      <c r="G4653" s="15"/>
    </row>
    <row r="4654" spans="3:7">
      <c r="C4654" s="14"/>
      <c r="G4654" s="15"/>
    </row>
    <row r="4655" spans="3:7">
      <c r="C4655" s="14"/>
      <c r="G4655" s="15"/>
    </row>
    <row r="4656" spans="3:7">
      <c r="C4656" s="14"/>
      <c r="G4656" s="15"/>
    </row>
    <row r="4657" spans="3:7">
      <c r="C4657" s="14"/>
      <c r="G4657" s="15"/>
    </row>
    <row r="4658" spans="3:7">
      <c r="C4658" s="14"/>
      <c r="G4658" s="15"/>
    </row>
    <row r="4659" spans="3:7">
      <c r="C4659" s="14"/>
      <c r="G4659" s="15"/>
    </row>
    <row r="4660" spans="3:7">
      <c r="C4660" s="14"/>
      <c r="G4660" s="15"/>
    </row>
    <row r="4661" spans="3:7">
      <c r="C4661" s="14"/>
      <c r="G4661" s="15"/>
    </row>
    <row r="4662" spans="3:7">
      <c r="C4662" s="14"/>
      <c r="G4662" s="15"/>
    </row>
    <row r="4663" spans="3:7">
      <c r="C4663" s="14"/>
      <c r="G4663" s="15"/>
    </row>
    <row r="4664" spans="3:7">
      <c r="C4664" s="14"/>
      <c r="G4664" s="15"/>
    </row>
    <row r="4665" spans="3:7">
      <c r="C4665" s="14"/>
      <c r="G4665" s="15"/>
    </row>
    <row r="4666" spans="3:7">
      <c r="C4666" s="14"/>
      <c r="G4666" s="15"/>
    </row>
    <row r="4667" spans="3:7">
      <c r="C4667" s="14"/>
      <c r="G4667" s="15"/>
    </row>
    <row r="4668" spans="3:7">
      <c r="C4668" s="14"/>
      <c r="G4668" s="15"/>
    </row>
    <row r="4669" spans="3:7">
      <c r="C4669" s="14"/>
      <c r="G4669" s="15"/>
    </row>
    <row r="4670" spans="3:7">
      <c r="C4670" s="14"/>
      <c r="G4670" s="15"/>
    </row>
    <row r="4671" spans="3:7">
      <c r="C4671" s="14"/>
      <c r="G4671" s="15"/>
    </row>
    <row r="4672" spans="3:7">
      <c r="C4672" s="14"/>
      <c r="G4672" s="15"/>
    </row>
    <row r="4673" spans="3:7">
      <c r="C4673" s="14"/>
      <c r="G4673" s="15"/>
    </row>
    <row r="4674" spans="3:7">
      <c r="C4674" s="14"/>
      <c r="G4674" s="15"/>
    </row>
    <row r="4675" spans="3:7">
      <c r="C4675" s="14"/>
      <c r="G4675" s="15"/>
    </row>
    <row r="4676" spans="3:7">
      <c r="C4676" s="14"/>
      <c r="G4676" s="15"/>
    </row>
    <row r="4677" spans="3:7">
      <c r="C4677" s="14"/>
      <c r="G4677" s="15"/>
    </row>
    <row r="4678" spans="3:7">
      <c r="C4678" s="14"/>
      <c r="G4678" s="15"/>
    </row>
    <row r="4679" spans="3:7">
      <c r="C4679" s="14"/>
      <c r="G4679" s="15"/>
    </row>
    <row r="4680" spans="3:7">
      <c r="C4680" s="14"/>
      <c r="G4680" s="15"/>
    </row>
    <row r="4681" spans="3:7">
      <c r="C4681" s="14"/>
      <c r="G4681" s="15"/>
    </row>
    <row r="4682" spans="3:7">
      <c r="C4682" s="14"/>
      <c r="G4682" s="15"/>
    </row>
    <row r="4683" spans="3:7">
      <c r="C4683" s="14"/>
      <c r="G4683" s="15"/>
    </row>
    <row r="4684" spans="3:7">
      <c r="C4684" s="14"/>
      <c r="G4684" s="15"/>
    </row>
    <row r="4685" spans="3:7">
      <c r="C4685" s="14"/>
      <c r="G4685" s="15"/>
    </row>
    <row r="4686" spans="3:7">
      <c r="C4686" s="14"/>
      <c r="G4686" s="15"/>
    </row>
    <row r="4687" spans="3:7">
      <c r="C4687" s="14"/>
      <c r="G4687" s="15"/>
    </row>
    <row r="4688" spans="3:7">
      <c r="C4688" s="14"/>
      <c r="G4688" s="15"/>
    </row>
    <row r="4689" spans="3:7">
      <c r="C4689" s="14"/>
      <c r="G4689" s="15"/>
    </row>
    <row r="4690" spans="3:7">
      <c r="C4690" s="14"/>
      <c r="G4690" s="15"/>
    </row>
    <row r="4691" spans="3:7">
      <c r="C4691" s="14"/>
      <c r="G4691" s="15"/>
    </row>
    <row r="4692" spans="3:7">
      <c r="C4692" s="14"/>
      <c r="G4692" s="15"/>
    </row>
    <row r="4693" spans="3:7">
      <c r="C4693" s="14"/>
      <c r="G4693" s="15"/>
    </row>
    <row r="4694" spans="3:7">
      <c r="C4694" s="14"/>
      <c r="G4694" s="15"/>
    </row>
    <row r="4695" spans="3:7">
      <c r="C4695" s="14"/>
      <c r="G4695" s="15"/>
    </row>
    <row r="4696" spans="3:7">
      <c r="C4696" s="14"/>
      <c r="G4696" s="15"/>
    </row>
    <row r="4697" spans="3:7">
      <c r="C4697" s="14"/>
      <c r="G4697" s="15"/>
    </row>
    <row r="4698" spans="3:7">
      <c r="C4698" s="14"/>
      <c r="G4698" s="15"/>
    </row>
    <row r="4699" spans="3:7">
      <c r="C4699" s="14"/>
      <c r="G4699" s="15"/>
    </row>
    <row r="4700" spans="3:7">
      <c r="C4700" s="14"/>
      <c r="G4700" s="15"/>
    </row>
    <row r="4701" spans="3:7">
      <c r="C4701" s="14"/>
      <c r="G4701" s="15"/>
    </row>
    <row r="4702" spans="3:7">
      <c r="C4702" s="14"/>
      <c r="G4702" s="15"/>
    </row>
    <row r="4703" spans="3:7">
      <c r="C4703" s="14"/>
      <c r="G4703" s="15"/>
    </row>
    <row r="4704" spans="3:7">
      <c r="C4704" s="14"/>
      <c r="G4704" s="15"/>
    </row>
    <row r="4705" spans="3:7">
      <c r="C4705" s="14"/>
      <c r="G4705" s="15"/>
    </row>
    <row r="4706" spans="3:7">
      <c r="C4706" s="14"/>
      <c r="G4706" s="15"/>
    </row>
    <row r="4707" spans="3:7">
      <c r="C4707" s="14"/>
      <c r="G4707" s="15"/>
    </row>
    <row r="4708" spans="3:7">
      <c r="C4708" s="14"/>
      <c r="G4708" s="15"/>
    </row>
    <row r="4709" spans="3:7">
      <c r="C4709" s="14"/>
      <c r="G4709" s="15"/>
    </row>
    <row r="4710" spans="3:7">
      <c r="C4710" s="14"/>
      <c r="G4710" s="15"/>
    </row>
    <row r="4711" spans="3:7">
      <c r="C4711" s="14"/>
      <c r="G4711" s="15"/>
    </row>
  </sheetData>
  <mergeCells count="3">
    <mergeCell ref="B2:E2"/>
    <mergeCell ref="B3:H3"/>
    <mergeCell ref="J2:O2"/>
  </mergeCells>
  <phoneticPr fontId="5" type="noConversion"/>
  <dataValidations count="2">
    <dataValidation allowBlank="1" showInputMessage="1" showErrorMessage="1" promptTitle="Type in any valid SQL" prompt="Then double click this (large) cell" sqref="B2"/>
    <dataValidation allowBlank="1" showInputMessage="1" showErrorMessage="1" promptTitle="Enter a valic connection string" prompt=" " sqref="B3:E3"/>
  </dataValidations>
  <pageMargins left="0.75" right="0.75" top="1" bottom="1" header="0.5" footer="0.5"/>
  <pageSetup orientation="portrait" r:id="rId1"/>
  <headerFooter alignWithMargins="0"/>
  <legacyDrawing r:id="rId2"/>
  <controls>
    <control shapeId="3076" r:id="rId3" name="cbIncludeCOlumnHeadings"/>
    <control shapeId="3075" r:id="rId4" name="btnViaRaays"/>
    <control shapeId="3074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H22"/>
  <sheetViews>
    <sheetView showGridLines="0" tabSelected="1" workbookViewId="0">
      <selection activeCell="E26" sqref="E26"/>
    </sheetView>
  </sheetViews>
  <sheetFormatPr defaultRowHeight="12.75"/>
  <cols>
    <col min="1" max="1" width="17.140625" bestFit="1" customWidth="1"/>
    <col min="2" max="2" width="18.42578125" customWidth="1"/>
    <col min="3" max="3" width="73.140625" customWidth="1"/>
    <col min="5" max="5" width="29.140625" bestFit="1" customWidth="1"/>
    <col min="6" max="6" width="9.28515625" bestFit="1" customWidth="1"/>
  </cols>
  <sheetData>
    <row r="1" spans="1:8" ht="17.25" thickBot="1">
      <c r="A1" s="71" t="s">
        <v>289</v>
      </c>
    </row>
    <row r="2" spans="1:8" ht="13.5" thickBot="1"/>
    <row r="3" spans="1:8">
      <c r="B3" s="106" t="s">
        <v>293</v>
      </c>
      <c r="C3" s="113" t="s">
        <v>372</v>
      </c>
    </row>
    <row r="4" spans="1:8" ht="13.5" thickBot="1">
      <c r="B4" s="107" t="s">
        <v>294</v>
      </c>
      <c r="C4" s="114" t="s">
        <v>376</v>
      </c>
    </row>
    <row r="5" spans="1:8" ht="20.100000000000001" customHeight="1">
      <c r="C5" s="115" t="b">
        <v>1</v>
      </c>
    </row>
    <row r="6" spans="1:8" ht="20.100000000000001" customHeight="1" thickBot="1">
      <c r="C6" s="115" t="b">
        <v>0</v>
      </c>
    </row>
    <row r="7" spans="1:8" ht="15" customHeight="1">
      <c r="D7" s="164" t="str">
        <f t="array" ref="D7:F9">rngExecSQL(C3,C4,C5,C6)</f>
        <v>col1</v>
      </c>
      <c r="E7" s="165" t="str">
        <v>id</v>
      </c>
      <c r="F7" s="165" t="str">
        <v>val</v>
      </c>
      <c r="G7" s="165"/>
      <c r="H7" s="166"/>
    </row>
    <row r="8" spans="1:8">
      <c r="D8" s="75" t="str">
        <v>2016-02-01</v>
      </c>
      <c r="E8" s="76">
        <v>2</v>
      </c>
      <c r="F8" s="76">
        <v>2.2000000000000002</v>
      </c>
      <c r="G8" s="116"/>
      <c r="H8" s="67"/>
    </row>
    <row r="9" spans="1:8">
      <c r="D9" s="75" t="e">
        <v>#N/A</v>
      </c>
      <c r="E9" s="76" t="e">
        <v>#N/A</v>
      </c>
      <c r="F9" s="76" t="e">
        <v>#N/A</v>
      </c>
      <c r="G9" s="116"/>
      <c r="H9" s="67"/>
    </row>
    <row r="10" spans="1:8">
      <c r="D10" s="75"/>
      <c r="E10" s="76"/>
      <c r="F10" s="76"/>
      <c r="G10" s="116"/>
      <c r="H10" s="67"/>
    </row>
    <row r="11" spans="1:8">
      <c r="D11" s="75"/>
      <c r="E11" s="76"/>
      <c r="F11" s="76"/>
      <c r="G11" s="116"/>
      <c r="H11" s="67"/>
    </row>
    <row r="12" spans="1:8">
      <c r="D12" s="75"/>
      <c r="E12" s="76"/>
      <c r="F12" s="76"/>
      <c r="G12" s="116"/>
      <c r="H12" s="67"/>
    </row>
    <row r="13" spans="1:8" ht="13.5" thickBot="1">
      <c r="C13" s="102"/>
      <c r="D13" s="77"/>
      <c r="E13" s="78"/>
      <c r="F13" s="78"/>
      <c r="G13" s="117"/>
      <c r="H13" s="68"/>
    </row>
    <row r="14" spans="1:8" ht="13.5" thickBot="1"/>
    <row r="15" spans="1:8" ht="13.5" thickBot="1">
      <c r="C15" s="114" t="s">
        <v>376</v>
      </c>
      <c r="D15" s="118"/>
      <c r="E15" s="118"/>
      <c r="F15" s="118"/>
      <c r="G15" s="118"/>
      <c r="H15" s="119"/>
    </row>
    <row r="16" spans="1:8">
      <c r="C16" s="30"/>
      <c r="D16" s="164" t="str">
        <f t="array" ref="D16:H22">rngExecSQL(C3,C15,C5)</f>
        <v>col1</v>
      </c>
      <c r="E16" s="165" t="str">
        <v>id</v>
      </c>
      <c r="F16" s="165" t="str">
        <v>val</v>
      </c>
      <c r="G16" s="165" t="e">
        <v>#N/A</v>
      </c>
      <c r="H16" s="166" t="e">
        <v>#N/A</v>
      </c>
    </row>
    <row r="17" spans="3:8">
      <c r="C17" s="30"/>
      <c r="D17" s="75" t="str">
        <v>2016-02-01</v>
      </c>
      <c r="E17" s="76">
        <v>2</v>
      </c>
      <c r="F17" s="76">
        <v>2.2000000000000002</v>
      </c>
      <c r="G17" s="116" t="e">
        <v>#N/A</v>
      </c>
      <c r="H17" s="67" t="e">
        <v>#N/A</v>
      </c>
    </row>
    <row r="18" spans="3:8">
      <c r="C18" s="30"/>
      <c r="D18" s="75" t="e">
        <v>#N/A</v>
      </c>
      <c r="E18" s="76" t="e">
        <v>#N/A</v>
      </c>
      <c r="F18" s="76" t="e">
        <v>#N/A</v>
      </c>
      <c r="G18" s="116" t="e">
        <v>#N/A</v>
      </c>
      <c r="H18" s="67" t="e">
        <v>#N/A</v>
      </c>
    </row>
    <row r="19" spans="3:8">
      <c r="C19" s="30"/>
      <c r="D19" s="75" t="e">
        <v>#N/A</v>
      </c>
      <c r="E19" s="76" t="e">
        <v>#N/A</v>
      </c>
      <c r="F19" s="76" t="e">
        <v>#N/A</v>
      </c>
      <c r="G19" s="116" t="e">
        <v>#N/A</v>
      </c>
      <c r="H19" s="67" t="e">
        <v>#N/A</v>
      </c>
    </row>
    <row r="20" spans="3:8">
      <c r="C20" s="30"/>
      <c r="D20" s="75" t="e">
        <v>#N/A</v>
      </c>
      <c r="E20" s="76" t="e">
        <v>#N/A</v>
      </c>
      <c r="F20" s="76" t="e">
        <v>#N/A</v>
      </c>
      <c r="G20" s="116" t="e">
        <v>#N/A</v>
      </c>
      <c r="H20" s="67" t="e">
        <v>#N/A</v>
      </c>
    </row>
    <row r="21" spans="3:8">
      <c r="C21" s="30"/>
      <c r="D21" s="75" t="e">
        <v>#N/A</v>
      </c>
      <c r="E21" s="76" t="e">
        <v>#N/A</v>
      </c>
      <c r="F21" s="76" t="e">
        <v>#N/A</v>
      </c>
      <c r="G21" s="116" t="e">
        <v>#N/A</v>
      </c>
      <c r="H21" s="67" t="e">
        <v>#N/A</v>
      </c>
    </row>
    <row r="22" spans="3:8" ht="13.5" thickBot="1">
      <c r="C22" s="32"/>
      <c r="D22" s="77" t="e">
        <v>#N/A</v>
      </c>
      <c r="E22" s="78" t="e">
        <v>#N/A</v>
      </c>
      <c r="F22" s="78" t="e">
        <v>#N/A</v>
      </c>
      <c r="G22" s="117" t="e">
        <v>#N/A</v>
      </c>
      <c r="H22" s="68" t="e">
        <v>#N/A</v>
      </c>
    </row>
  </sheetData>
  <pageMargins left="0.7" right="0.7" top="0.75" bottom="0.75" header="0.3" footer="0.3"/>
  <legacyDrawing r:id="rId1"/>
  <controls>
    <control shapeId="11265" r:id="rId2" name="cbShowHeadings"/>
    <control shapeId="11266" r:id="rId3" name="cbReuseConnection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28"/>
  <sheetViews>
    <sheetView showGridLines="0" zoomScaleNormal="100" workbookViewId="0">
      <selection activeCell="I20" sqref="I20"/>
    </sheetView>
  </sheetViews>
  <sheetFormatPr defaultRowHeight="12.75"/>
  <cols>
    <col min="1" max="1" width="17.7109375" customWidth="1"/>
    <col min="2" max="2" width="17.85546875" customWidth="1"/>
    <col min="3" max="3" width="14.85546875" customWidth="1"/>
    <col min="4" max="4" width="28" bestFit="1" customWidth="1"/>
  </cols>
  <sheetData>
    <row r="1" spans="1:14" ht="16.5" customHeight="1" thickBot="1">
      <c r="A1" s="71" t="s">
        <v>252</v>
      </c>
    </row>
    <row r="2" spans="1:14" ht="13.5" thickBot="1"/>
    <row r="3" spans="1:14" ht="15">
      <c r="B3" s="61" t="s">
        <v>230</v>
      </c>
      <c r="C3" s="192" t="s">
        <v>243</v>
      </c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5.75" thickBot="1">
      <c r="B4" s="62" t="s">
        <v>231</v>
      </c>
      <c r="C4" s="190" t="s">
        <v>244</v>
      </c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1"/>
    </row>
    <row r="5" spans="1:14" ht="6.75" customHeight="1" thickBot="1"/>
    <row r="6" spans="1:14">
      <c r="B6" s="63" t="s">
        <v>246</v>
      </c>
      <c r="C6" s="64" t="s">
        <v>245</v>
      </c>
    </row>
    <row r="7" spans="1:14" ht="15">
      <c r="B7" s="65" t="s">
        <v>247</v>
      </c>
      <c r="C7" s="69">
        <f>CallSqlFunc($C$3,$C$4,"PARAMETER",B7)</f>
        <v>0</v>
      </c>
    </row>
    <row r="8" spans="1:14" ht="15">
      <c r="B8" s="65" t="s">
        <v>248</v>
      </c>
      <c r="C8" s="69">
        <f t="shared" ref="C8:C11" si="0">CallSqlFunc($C$3,$C$4,"PARAMETER",B8)</f>
        <v>0</v>
      </c>
    </row>
    <row r="9" spans="1:14" ht="15">
      <c r="B9" s="65" t="s">
        <v>249</v>
      </c>
      <c r="C9" s="69">
        <f t="shared" si="0"/>
        <v>0</v>
      </c>
      <c r="H9" s="196" t="s">
        <v>288</v>
      </c>
      <c r="I9" s="196"/>
      <c r="J9" s="196"/>
      <c r="K9" s="196"/>
    </row>
    <row r="10" spans="1:14" ht="15">
      <c r="B10" s="65" t="s">
        <v>250</v>
      </c>
      <c r="C10" s="69">
        <f t="shared" si="0"/>
        <v>0</v>
      </c>
    </row>
    <row r="11" spans="1:14" ht="15.75" thickBot="1">
      <c r="B11" s="66" t="s">
        <v>251</v>
      </c>
      <c r="C11" s="70">
        <f t="shared" si="0"/>
        <v>0</v>
      </c>
    </row>
    <row r="15" spans="1:14" ht="13.5" thickBot="1"/>
    <row r="16" spans="1:14" ht="15.75" thickTop="1">
      <c r="B16" s="80" t="s">
        <v>231</v>
      </c>
      <c r="C16" s="194" t="s">
        <v>253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5"/>
    </row>
    <row r="17" spans="2:7" ht="13.5" thickBot="1">
      <c r="B17" s="81" t="s">
        <v>254</v>
      </c>
      <c r="C17" s="82">
        <v>42171</v>
      </c>
    </row>
    <row r="18" spans="2:7" ht="13.5" thickTop="1">
      <c r="C18" s="167">
        <f t="array" ref="C18:G28">CallSqlFunc($C$3,C16,"PARAMETER",C17, TRUE)</f>
        <v>0</v>
      </c>
      <c r="D18" s="165">
        <v>0</v>
      </c>
      <c r="E18" s="165">
        <v>0</v>
      </c>
      <c r="F18" s="165">
        <v>0</v>
      </c>
      <c r="G18" s="166">
        <v>0</v>
      </c>
    </row>
    <row r="19" spans="2:7">
      <c r="C19" s="75">
        <v>0</v>
      </c>
      <c r="D19" s="76">
        <v>0</v>
      </c>
      <c r="E19" s="76">
        <v>0</v>
      </c>
      <c r="F19" s="103">
        <v>0</v>
      </c>
      <c r="G19" s="67">
        <v>0</v>
      </c>
    </row>
    <row r="20" spans="2:7">
      <c r="C20" s="75">
        <v>0</v>
      </c>
      <c r="D20" s="76">
        <v>0</v>
      </c>
      <c r="E20" s="76">
        <v>0</v>
      </c>
      <c r="F20" s="103">
        <v>0</v>
      </c>
      <c r="G20" s="67">
        <v>0</v>
      </c>
    </row>
    <row r="21" spans="2:7">
      <c r="C21" s="75">
        <v>0</v>
      </c>
      <c r="D21" s="76">
        <v>0</v>
      </c>
      <c r="E21" s="76">
        <v>0</v>
      </c>
      <c r="F21" s="103">
        <v>0</v>
      </c>
      <c r="G21" s="67">
        <v>0</v>
      </c>
    </row>
    <row r="22" spans="2:7">
      <c r="C22" s="75">
        <v>0</v>
      </c>
      <c r="D22" s="76">
        <v>0</v>
      </c>
      <c r="E22" s="76">
        <v>0</v>
      </c>
      <c r="F22" s="103">
        <v>0</v>
      </c>
      <c r="G22" s="67">
        <v>0</v>
      </c>
    </row>
    <row r="23" spans="2:7">
      <c r="C23" s="75">
        <v>0</v>
      </c>
      <c r="D23" s="76">
        <v>0</v>
      </c>
      <c r="E23" s="76">
        <v>0</v>
      </c>
      <c r="F23" s="103">
        <v>0</v>
      </c>
      <c r="G23" s="67">
        <v>0</v>
      </c>
    </row>
    <row r="24" spans="2:7">
      <c r="C24" s="75">
        <v>0</v>
      </c>
      <c r="D24" s="76">
        <v>0</v>
      </c>
      <c r="E24" s="76">
        <v>0</v>
      </c>
      <c r="F24" s="103">
        <v>0</v>
      </c>
      <c r="G24" s="67">
        <v>0</v>
      </c>
    </row>
    <row r="25" spans="2:7">
      <c r="C25" s="75">
        <v>0</v>
      </c>
      <c r="D25" s="76">
        <v>0</v>
      </c>
      <c r="E25" s="76">
        <v>0</v>
      </c>
      <c r="F25" s="103">
        <v>0</v>
      </c>
      <c r="G25" s="67">
        <v>0</v>
      </c>
    </row>
    <row r="26" spans="2:7">
      <c r="C26" s="75">
        <v>0</v>
      </c>
      <c r="D26" s="76">
        <v>0</v>
      </c>
      <c r="E26" s="76">
        <v>0</v>
      </c>
      <c r="F26" s="103">
        <v>0</v>
      </c>
      <c r="G26" s="67">
        <v>0</v>
      </c>
    </row>
    <row r="27" spans="2:7">
      <c r="C27" s="75">
        <v>0</v>
      </c>
      <c r="D27" s="76">
        <v>0</v>
      </c>
      <c r="E27" s="76">
        <v>0</v>
      </c>
      <c r="F27" s="103">
        <v>0</v>
      </c>
      <c r="G27" s="67">
        <v>0</v>
      </c>
    </row>
    <row r="28" spans="2:7" ht="13.5" thickBot="1">
      <c r="C28" s="77">
        <v>0</v>
      </c>
      <c r="D28" s="78">
        <v>0</v>
      </c>
      <c r="E28" s="78">
        <v>0</v>
      </c>
      <c r="F28" s="104">
        <v>0</v>
      </c>
      <c r="G28" s="68">
        <v>0</v>
      </c>
    </row>
  </sheetData>
  <mergeCells count="4">
    <mergeCell ref="C4:N4"/>
    <mergeCell ref="C3:N3"/>
    <mergeCell ref="C16:N16"/>
    <mergeCell ref="H9:K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23"/>
  <sheetViews>
    <sheetView workbookViewId="0">
      <selection activeCell="E31" sqref="E31"/>
    </sheetView>
  </sheetViews>
  <sheetFormatPr defaultRowHeight="12.75"/>
  <cols>
    <col min="1" max="1" width="27.5703125" bestFit="1" customWidth="1"/>
    <col min="2" max="2" width="13.28515625" bestFit="1" customWidth="1"/>
    <col min="3" max="3" width="11.28515625" customWidth="1"/>
    <col min="4" max="4" width="11.5703125" customWidth="1"/>
    <col min="5" max="5" width="28" bestFit="1" customWidth="1"/>
    <col min="6" max="6" width="9" bestFit="1" customWidth="1"/>
  </cols>
  <sheetData>
    <row r="1" spans="1:14" ht="17.25" thickBot="1">
      <c r="A1" s="71" t="s">
        <v>270</v>
      </c>
    </row>
    <row r="2" spans="1:14" ht="13.5" thickBot="1"/>
    <row r="3" spans="1:14" ht="15">
      <c r="B3" s="61" t="s">
        <v>230</v>
      </c>
      <c r="C3" s="192" t="s">
        <v>243</v>
      </c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5.75" thickBot="1">
      <c r="B4" s="62" t="s">
        <v>231</v>
      </c>
      <c r="C4" s="190" t="s">
        <v>271</v>
      </c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1"/>
    </row>
    <row r="5" spans="1:14">
      <c r="B5" s="94" t="s">
        <v>272</v>
      </c>
      <c r="C5" s="93" t="s">
        <v>273</v>
      </c>
    </row>
    <row r="6" spans="1:14">
      <c r="B6" s="91" t="s">
        <v>274</v>
      </c>
      <c r="C6" s="89">
        <v>41397</v>
      </c>
    </row>
    <row r="7" spans="1:14" ht="13.5" thickBot="1">
      <c r="B7" s="92" t="s">
        <v>275</v>
      </c>
      <c r="C7" s="90" t="s">
        <v>276</v>
      </c>
    </row>
    <row r="8" spans="1:14">
      <c r="D8" s="95">
        <f t="array" ref="D8:H17">SqlMultiParamFunc(C3,C4,B6:B7,C6:C7)</f>
        <v>0</v>
      </c>
      <c r="E8" s="73">
        <v>0</v>
      </c>
      <c r="F8" s="73">
        <v>0</v>
      </c>
      <c r="G8" s="73">
        <v>0</v>
      </c>
      <c r="H8" s="74">
        <v>0</v>
      </c>
    </row>
    <row r="9" spans="1:14">
      <c r="D9" s="75">
        <v>0</v>
      </c>
      <c r="E9" s="76">
        <v>0</v>
      </c>
      <c r="F9" s="76">
        <v>0</v>
      </c>
      <c r="G9" s="76">
        <v>0</v>
      </c>
      <c r="H9" s="67">
        <v>0</v>
      </c>
    </row>
    <row r="10" spans="1:14">
      <c r="D10" s="75">
        <v>0</v>
      </c>
      <c r="E10" s="76">
        <v>0</v>
      </c>
      <c r="F10" s="76">
        <v>0</v>
      </c>
      <c r="G10" s="76">
        <v>0</v>
      </c>
      <c r="H10" s="67">
        <v>0</v>
      </c>
    </row>
    <row r="11" spans="1:14">
      <c r="D11" s="75">
        <v>0</v>
      </c>
      <c r="E11" s="76">
        <v>0</v>
      </c>
      <c r="F11" s="76">
        <v>0</v>
      </c>
      <c r="G11" s="76">
        <v>0</v>
      </c>
      <c r="H11" s="67">
        <v>0</v>
      </c>
    </row>
    <row r="12" spans="1:14">
      <c r="D12" s="75">
        <v>0</v>
      </c>
      <c r="E12" s="76">
        <v>0</v>
      </c>
      <c r="F12" s="76">
        <v>0</v>
      </c>
      <c r="G12" s="76">
        <v>0</v>
      </c>
      <c r="H12" s="67">
        <v>0</v>
      </c>
    </row>
    <row r="13" spans="1:14">
      <c r="D13" s="75">
        <v>0</v>
      </c>
      <c r="E13" s="76">
        <v>0</v>
      </c>
      <c r="F13" s="76">
        <v>0</v>
      </c>
      <c r="G13" s="76">
        <v>0</v>
      </c>
      <c r="H13" s="67">
        <v>0</v>
      </c>
    </row>
    <row r="14" spans="1:14">
      <c r="D14" s="75">
        <v>0</v>
      </c>
      <c r="E14" s="76">
        <v>0</v>
      </c>
      <c r="F14" s="76">
        <v>0</v>
      </c>
      <c r="G14" s="76">
        <v>0</v>
      </c>
      <c r="H14" s="67">
        <v>0</v>
      </c>
    </row>
    <row r="15" spans="1:14">
      <c r="D15" s="75">
        <v>0</v>
      </c>
      <c r="E15" s="76">
        <v>0</v>
      </c>
      <c r="F15" s="76">
        <v>0</v>
      </c>
      <c r="G15" s="76">
        <v>0</v>
      </c>
      <c r="H15" s="67">
        <v>0</v>
      </c>
    </row>
    <row r="16" spans="1:14">
      <c r="D16" s="75">
        <v>0</v>
      </c>
      <c r="E16" s="76">
        <v>0</v>
      </c>
      <c r="F16" s="76">
        <v>0</v>
      </c>
      <c r="G16" s="76">
        <v>0</v>
      </c>
      <c r="H16" s="67">
        <v>0</v>
      </c>
    </row>
    <row r="17" spans="4:8" ht="13.5" thickBot="1">
      <c r="D17" s="77">
        <v>0</v>
      </c>
      <c r="E17" s="78">
        <v>0</v>
      </c>
      <c r="F17" s="78">
        <v>0</v>
      </c>
      <c r="G17" s="78">
        <v>0</v>
      </c>
      <c r="H17" s="68">
        <v>0</v>
      </c>
    </row>
    <row r="19" spans="4:8" ht="13.5" thickBot="1"/>
    <row r="20" spans="4:8" ht="13.5" thickBot="1">
      <c r="D20" s="96">
        <f t="array" ref="D20:H23">SqlMultiParamFunc(C3,C4,B6:B7,C6:C7,TRUE)</f>
        <v>0</v>
      </c>
      <c r="E20" s="97">
        <v>0</v>
      </c>
      <c r="F20" s="97">
        <v>0</v>
      </c>
      <c r="G20" s="97">
        <v>0</v>
      </c>
      <c r="H20" s="98">
        <v>0</v>
      </c>
    </row>
    <row r="21" spans="4:8">
      <c r="D21" s="79">
        <v>0</v>
      </c>
      <c r="E21" s="99">
        <v>0</v>
      </c>
      <c r="F21" s="99">
        <v>0</v>
      </c>
      <c r="G21" s="99">
        <v>0</v>
      </c>
      <c r="H21" s="100">
        <v>0</v>
      </c>
    </row>
    <row r="22" spans="4:8">
      <c r="D22" s="75">
        <v>0</v>
      </c>
      <c r="E22" s="76">
        <v>0</v>
      </c>
      <c r="F22" s="76">
        <v>0</v>
      </c>
      <c r="G22" s="76">
        <v>0</v>
      </c>
      <c r="H22" s="67">
        <v>0</v>
      </c>
    </row>
    <row r="23" spans="4:8" ht="13.5" thickBot="1">
      <c r="D23" s="77">
        <v>0</v>
      </c>
      <c r="E23" s="78">
        <v>0</v>
      </c>
      <c r="F23" s="78">
        <v>0</v>
      </c>
      <c r="G23" s="78">
        <v>0</v>
      </c>
      <c r="H23" s="68">
        <v>0</v>
      </c>
    </row>
  </sheetData>
  <mergeCells count="2">
    <mergeCell ref="C3:N3"/>
    <mergeCell ref="C4:N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AF72"/>
  <sheetViews>
    <sheetView workbookViewId="0">
      <selection activeCell="C33" sqref="C33"/>
    </sheetView>
  </sheetViews>
  <sheetFormatPr defaultRowHeight="12.75"/>
  <cols>
    <col min="2" max="2" width="10" bestFit="1" customWidth="1"/>
    <col min="3" max="3" width="111.28515625" customWidth="1"/>
    <col min="4" max="4" width="7" customWidth="1"/>
    <col min="5" max="5" width="9.28515625" customWidth="1"/>
    <col min="6" max="6" width="12.28515625" customWidth="1"/>
    <col min="7" max="7" width="29.140625" bestFit="1" customWidth="1"/>
    <col min="8" max="8" width="9.28515625" bestFit="1" customWidth="1"/>
    <col min="9" max="9" width="23.140625" bestFit="1" customWidth="1"/>
    <col min="10" max="10" width="3.5703125" customWidth="1"/>
    <col min="11" max="11" width="8.85546875" customWidth="1"/>
    <col min="12" max="12" width="4.140625" customWidth="1"/>
    <col min="13" max="13" width="8" customWidth="1"/>
    <col min="14" max="14" width="10.140625" bestFit="1" customWidth="1"/>
    <col min="15" max="15" width="10" bestFit="1" customWidth="1"/>
    <col min="16" max="16" width="4" customWidth="1"/>
    <col min="17" max="17" width="4.28515625" customWidth="1"/>
    <col min="18" max="25" width="4.85546875" customWidth="1"/>
    <col min="26" max="26" width="5.140625" customWidth="1"/>
  </cols>
  <sheetData>
    <row r="2" spans="2:32" ht="13.5" thickBot="1"/>
    <row r="3" spans="2:32">
      <c r="B3" s="37" t="s">
        <v>230</v>
      </c>
      <c r="C3" s="35" t="s">
        <v>4</v>
      </c>
    </row>
    <row r="4" spans="2:32" ht="13.5" thickBot="1">
      <c r="B4" s="38" t="s">
        <v>231</v>
      </c>
      <c r="C4" s="36" t="s">
        <v>6</v>
      </c>
      <c r="F4" s="40">
        <v>41397</v>
      </c>
    </row>
    <row r="5" spans="2:32">
      <c r="B5" s="13" t="s">
        <v>233</v>
      </c>
    </row>
    <row r="7" spans="2:32" s="1" customFormat="1" ht="63.75">
      <c r="D7" s="1" t="s">
        <v>7</v>
      </c>
      <c r="E7" s="1" t="s">
        <v>8</v>
      </c>
      <c r="F7" s="1" t="s">
        <v>9</v>
      </c>
      <c r="G7" s="1" t="s">
        <v>10</v>
      </c>
      <c r="H7" s="1" t="s">
        <v>11</v>
      </c>
      <c r="I7" s="1" t="s">
        <v>12</v>
      </c>
      <c r="J7" s="1" t="s">
        <v>13</v>
      </c>
      <c r="K7" s="12" t="s">
        <v>14</v>
      </c>
      <c r="L7" s="12" t="s">
        <v>15</v>
      </c>
      <c r="M7" s="12" t="s">
        <v>16</v>
      </c>
      <c r="N7" s="12" t="s">
        <v>17</v>
      </c>
      <c r="O7" s="12" t="s">
        <v>18</v>
      </c>
      <c r="P7" s="12" t="s">
        <v>19</v>
      </c>
      <c r="Q7" s="12" t="s">
        <v>20</v>
      </c>
      <c r="R7" s="12" t="s">
        <v>21</v>
      </c>
      <c r="S7" s="12" t="s">
        <v>22</v>
      </c>
      <c r="T7" s="12" t="s">
        <v>23</v>
      </c>
      <c r="U7" s="12" t="s">
        <v>24</v>
      </c>
      <c r="V7" s="12" t="s">
        <v>25</v>
      </c>
      <c r="W7" s="12" t="s">
        <v>26</v>
      </c>
      <c r="X7" s="12" t="s">
        <v>27</v>
      </c>
      <c r="Y7" s="12" t="s">
        <v>28</v>
      </c>
      <c r="Z7" s="12" t="s">
        <v>29</v>
      </c>
      <c r="AA7" s="12" t="s">
        <v>30</v>
      </c>
      <c r="AB7" s="12" t="s">
        <v>31</v>
      </c>
      <c r="AC7" s="12" t="s">
        <v>32</v>
      </c>
      <c r="AD7" s="12" t="s">
        <v>33</v>
      </c>
      <c r="AE7" s="12" t="s">
        <v>34</v>
      </c>
      <c r="AF7" s="12" t="s">
        <v>35</v>
      </c>
    </row>
    <row r="8" spans="2:32">
      <c r="D8" s="13">
        <v>110218</v>
      </c>
      <c r="E8" s="14">
        <v>41397</v>
      </c>
      <c r="F8" s="13">
        <v>10024889</v>
      </c>
      <c r="G8" s="13" t="s">
        <v>36</v>
      </c>
      <c r="H8" s="13" t="s">
        <v>37</v>
      </c>
      <c r="I8" s="13" t="s">
        <v>38</v>
      </c>
      <c r="J8" s="13" t="s">
        <v>39</v>
      </c>
      <c r="K8" s="13" t="s">
        <v>40</v>
      </c>
      <c r="L8" s="13" t="s">
        <v>41</v>
      </c>
      <c r="M8" s="13">
        <v>40</v>
      </c>
      <c r="N8" s="14">
        <v>41656</v>
      </c>
      <c r="O8" s="13">
        <v>100</v>
      </c>
      <c r="P8" s="13">
        <v>0</v>
      </c>
      <c r="Q8" s="13" t="s">
        <v>42</v>
      </c>
      <c r="R8" s="13" t="s">
        <v>43</v>
      </c>
      <c r="S8" s="13" t="s">
        <v>43</v>
      </c>
      <c r="T8" s="13"/>
      <c r="U8" s="13"/>
      <c r="V8" s="13"/>
      <c r="W8" s="13"/>
      <c r="X8" s="13"/>
      <c r="Y8" s="13"/>
      <c r="Z8" s="13" t="s">
        <v>44</v>
      </c>
      <c r="AA8" s="13"/>
      <c r="AB8" s="13"/>
      <c r="AC8" s="13"/>
      <c r="AD8" s="13"/>
      <c r="AE8" s="13"/>
      <c r="AF8" s="15">
        <v>41397.792222222219</v>
      </c>
    </row>
    <row r="9" spans="2:32">
      <c r="D9" s="13">
        <v>110217</v>
      </c>
      <c r="E9" s="14">
        <v>41397</v>
      </c>
      <c r="F9" s="13">
        <v>10024887</v>
      </c>
      <c r="G9" s="13" t="s">
        <v>45</v>
      </c>
      <c r="H9" s="13" t="s">
        <v>46</v>
      </c>
      <c r="I9" s="13" t="s">
        <v>47</v>
      </c>
      <c r="J9" s="13" t="s">
        <v>39</v>
      </c>
      <c r="K9" s="13" t="s">
        <v>40</v>
      </c>
      <c r="L9" s="13" t="s">
        <v>48</v>
      </c>
      <c r="M9" s="13">
        <v>91</v>
      </c>
      <c r="N9" s="14">
        <v>41453</v>
      </c>
      <c r="O9" s="13">
        <v>100</v>
      </c>
      <c r="P9" s="13">
        <v>100</v>
      </c>
      <c r="Q9" s="13"/>
      <c r="R9" s="13" t="s">
        <v>43</v>
      </c>
      <c r="S9" s="13" t="s">
        <v>43</v>
      </c>
      <c r="T9" s="13"/>
      <c r="U9" s="13"/>
      <c r="V9" s="13"/>
      <c r="W9" s="13"/>
      <c r="X9" s="13"/>
      <c r="Y9" s="13"/>
      <c r="Z9" s="13" t="s">
        <v>49</v>
      </c>
      <c r="AA9" s="13"/>
      <c r="AB9" s="13"/>
      <c r="AC9" s="13"/>
      <c r="AD9" s="13"/>
      <c r="AE9" s="13"/>
      <c r="AF9" s="15">
        <v>41397.792222222219</v>
      </c>
    </row>
    <row r="10" spans="2:32">
      <c r="D10" s="13">
        <v>110216</v>
      </c>
      <c r="E10" s="14">
        <v>41397</v>
      </c>
      <c r="F10" s="13">
        <v>10024857</v>
      </c>
      <c r="G10" s="13" t="s">
        <v>50</v>
      </c>
      <c r="H10" s="13" t="s">
        <v>51</v>
      </c>
      <c r="I10" s="13" t="s">
        <v>52</v>
      </c>
      <c r="J10" s="13" t="s">
        <v>39</v>
      </c>
      <c r="K10" s="13" t="s">
        <v>53</v>
      </c>
      <c r="L10" s="13" t="s">
        <v>48</v>
      </c>
      <c r="M10" s="13">
        <v>1575</v>
      </c>
      <c r="N10" s="14">
        <v>41453</v>
      </c>
      <c r="O10" s="13">
        <v>100</v>
      </c>
      <c r="P10" s="13">
        <v>0</v>
      </c>
      <c r="Q10" s="13"/>
      <c r="R10" s="13" t="s">
        <v>43</v>
      </c>
      <c r="S10" s="13" t="s">
        <v>43</v>
      </c>
      <c r="T10" s="13"/>
      <c r="U10" s="13"/>
      <c r="V10" s="13"/>
      <c r="W10" s="13"/>
      <c r="X10" s="13"/>
      <c r="Y10" s="13"/>
      <c r="Z10" s="13" t="s">
        <v>51</v>
      </c>
      <c r="AA10" s="13"/>
      <c r="AB10" s="13"/>
      <c r="AC10" s="13"/>
      <c r="AD10" s="13"/>
      <c r="AE10" s="13"/>
      <c r="AF10" s="15">
        <v>41397.792222222219</v>
      </c>
    </row>
    <row r="11" spans="2:32">
      <c r="D11" s="13">
        <v>110215</v>
      </c>
      <c r="E11" s="14">
        <v>41397</v>
      </c>
      <c r="F11" s="13">
        <v>10024856</v>
      </c>
      <c r="G11" s="13" t="s">
        <v>54</v>
      </c>
      <c r="H11" s="13" t="s">
        <v>55</v>
      </c>
      <c r="I11" s="13" t="s">
        <v>56</v>
      </c>
      <c r="J11" s="13" t="s">
        <v>39</v>
      </c>
      <c r="K11" s="13" t="s">
        <v>40</v>
      </c>
      <c r="L11" s="13" t="s">
        <v>41</v>
      </c>
      <c r="M11" s="13">
        <v>50</v>
      </c>
      <c r="N11" s="14">
        <v>41412</v>
      </c>
      <c r="O11" s="13">
        <v>100</v>
      </c>
      <c r="P11" s="13">
        <v>100</v>
      </c>
      <c r="Q11" s="13"/>
      <c r="R11" s="13" t="s">
        <v>43</v>
      </c>
      <c r="S11" s="13" t="s">
        <v>43</v>
      </c>
      <c r="T11" s="13"/>
      <c r="U11" s="13"/>
      <c r="V11" s="13"/>
      <c r="W11" s="13"/>
      <c r="X11" s="13"/>
      <c r="Y11" s="13"/>
      <c r="Z11" s="13" t="s">
        <v>57</v>
      </c>
      <c r="AA11" s="13"/>
      <c r="AB11" s="13"/>
      <c r="AC11" s="13"/>
      <c r="AD11" s="13"/>
      <c r="AE11" s="13"/>
      <c r="AF11" s="15">
        <v>41397.792222222219</v>
      </c>
    </row>
    <row r="12" spans="2:32">
      <c r="D12" s="13">
        <v>110214</v>
      </c>
      <c r="E12" s="14">
        <v>41397</v>
      </c>
      <c r="F12" s="13">
        <v>10024855</v>
      </c>
      <c r="G12" s="13" t="s">
        <v>58</v>
      </c>
      <c r="H12" s="13" t="s">
        <v>55</v>
      </c>
      <c r="I12" s="13" t="s">
        <v>59</v>
      </c>
      <c r="J12" s="13" t="s">
        <v>39</v>
      </c>
      <c r="K12" s="13" t="s">
        <v>40</v>
      </c>
      <c r="L12" s="13" t="s">
        <v>48</v>
      </c>
      <c r="M12" s="13">
        <v>43</v>
      </c>
      <c r="N12" s="14">
        <v>41412</v>
      </c>
      <c r="O12" s="13">
        <v>100</v>
      </c>
      <c r="P12" s="13">
        <v>100</v>
      </c>
      <c r="Q12" s="13"/>
      <c r="R12" s="13" t="s">
        <v>43</v>
      </c>
      <c r="S12" s="13" t="s">
        <v>43</v>
      </c>
      <c r="T12" s="13"/>
      <c r="U12" s="13"/>
      <c r="V12" s="13"/>
      <c r="W12" s="13"/>
      <c r="X12" s="13"/>
      <c r="Y12" s="13"/>
      <c r="Z12" s="13" t="s">
        <v>57</v>
      </c>
      <c r="AA12" s="13"/>
      <c r="AB12" s="13"/>
      <c r="AC12" s="13"/>
      <c r="AD12" s="13"/>
      <c r="AE12" s="13"/>
      <c r="AF12" s="15">
        <v>41397.792222222219</v>
      </c>
    </row>
    <row r="13" spans="2:32">
      <c r="D13" s="13">
        <v>110213</v>
      </c>
      <c r="E13" s="14">
        <v>41397</v>
      </c>
      <c r="F13" s="13">
        <v>10024854</v>
      </c>
      <c r="G13" s="13" t="s">
        <v>60</v>
      </c>
      <c r="H13" s="13" t="s">
        <v>61</v>
      </c>
      <c r="I13" s="13" t="s">
        <v>62</v>
      </c>
      <c r="J13" s="13" t="s">
        <v>39</v>
      </c>
      <c r="K13" s="13" t="s">
        <v>40</v>
      </c>
      <c r="L13" s="13" t="s">
        <v>41</v>
      </c>
      <c r="M13" s="13">
        <v>6</v>
      </c>
      <c r="N13" s="14">
        <v>41447</v>
      </c>
      <c r="O13" s="13">
        <v>100</v>
      </c>
      <c r="P13" s="13">
        <v>100</v>
      </c>
      <c r="Q13" s="13"/>
      <c r="R13" s="13" t="s">
        <v>43</v>
      </c>
      <c r="S13" s="13" t="s">
        <v>43</v>
      </c>
      <c r="T13" s="13"/>
      <c r="U13" s="13"/>
      <c r="V13" s="13"/>
      <c r="W13" s="13"/>
      <c r="X13" s="13"/>
      <c r="Y13" s="13"/>
      <c r="Z13" s="13" t="s">
        <v>63</v>
      </c>
      <c r="AA13" s="13"/>
      <c r="AB13" s="13"/>
      <c r="AC13" s="13"/>
      <c r="AD13" s="13"/>
      <c r="AE13" s="16"/>
      <c r="AF13" s="15">
        <v>41397.792222222219</v>
      </c>
    </row>
    <row r="14" spans="2:32">
      <c r="D14" s="13">
        <v>110212</v>
      </c>
      <c r="E14" s="14">
        <v>41397</v>
      </c>
      <c r="F14" s="13">
        <v>10024844</v>
      </c>
      <c r="G14" s="13" t="s">
        <v>64</v>
      </c>
      <c r="H14" s="13" t="s">
        <v>65</v>
      </c>
      <c r="I14" s="13" t="s">
        <v>66</v>
      </c>
      <c r="J14" s="13" t="s">
        <v>39</v>
      </c>
      <c r="K14" s="13" t="s">
        <v>40</v>
      </c>
      <c r="L14" s="13" t="s">
        <v>48</v>
      </c>
      <c r="M14" s="13">
        <v>10</v>
      </c>
      <c r="N14" s="14">
        <v>41412</v>
      </c>
      <c r="O14" s="13">
        <v>100</v>
      </c>
      <c r="P14" s="13">
        <v>100</v>
      </c>
      <c r="Q14" s="13"/>
      <c r="R14" s="13" t="s">
        <v>43</v>
      </c>
      <c r="S14" s="13" t="s">
        <v>43</v>
      </c>
      <c r="T14" s="13"/>
      <c r="U14" s="13"/>
      <c r="V14" s="13"/>
      <c r="W14" s="13"/>
      <c r="X14" s="13"/>
      <c r="Y14" s="13"/>
      <c r="Z14" s="13" t="s">
        <v>67</v>
      </c>
      <c r="AA14" s="13"/>
      <c r="AB14" s="13"/>
      <c r="AC14" s="13"/>
      <c r="AD14" s="13"/>
      <c r="AE14" s="13"/>
      <c r="AF14" s="15">
        <v>41397.792222222219</v>
      </c>
    </row>
    <row r="15" spans="2:32" ht="13.5">
      <c r="D15" s="13">
        <v>110211</v>
      </c>
      <c r="E15" s="14">
        <v>41397</v>
      </c>
      <c r="F15" s="13">
        <v>10024842</v>
      </c>
      <c r="G15" s="13" t="s">
        <v>68</v>
      </c>
      <c r="H15" s="13" t="s">
        <v>46</v>
      </c>
      <c r="I15" s="13" t="s">
        <v>69</v>
      </c>
      <c r="J15" s="13" t="s">
        <v>39</v>
      </c>
      <c r="K15" s="13" t="s">
        <v>40</v>
      </c>
      <c r="L15" s="13" t="s">
        <v>48</v>
      </c>
      <c r="M15" s="13">
        <v>89</v>
      </c>
      <c r="N15" s="14">
        <v>41453</v>
      </c>
      <c r="O15" s="13">
        <v>100</v>
      </c>
      <c r="P15" s="13">
        <v>100</v>
      </c>
      <c r="Q15" s="13"/>
      <c r="R15" s="13" t="s">
        <v>43</v>
      </c>
      <c r="S15" s="13" t="s">
        <v>43</v>
      </c>
      <c r="T15" s="13"/>
      <c r="U15" s="13"/>
      <c r="V15" s="13"/>
      <c r="W15" s="13"/>
      <c r="X15" s="13"/>
      <c r="Y15" s="13"/>
      <c r="Z15" s="13" t="s">
        <v>49</v>
      </c>
      <c r="AA15" s="13"/>
      <c r="AB15" s="13"/>
      <c r="AC15" s="13"/>
      <c r="AD15" s="13"/>
      <c r="AE15" s="2"/>
      <c r="AF15" s="15">
        <v>41397.792222222219</v>
      </c>
    </row>
    <row r="16" spans="2:32">
      <c r="D16" s="13">
        <v>110210</v>
      </c>
      <c r="E16" s="14">
        <v>41397</v>
      </c>
      <c r="F16" s="13">
        <v>10024841</v>
      </c>
      <c r="G16" s="13" t="s">
        <v>70</v>
      </c>
      <c r="H16" s="13" t="s">
        <v>46</v>
      </c>
      <c r="I16" s="13" t="s">
        <v>71</v>
      </c>
      <c r="J16" s="13" t="s">
        <v>39</v>
      </c>
      <c r="K16" s="13" t="s">
        <v>40</v>
      </c>
      <c r="L16" s="13" t="s">
        <v>48</v>
      </c>
      <c r="M16" s="13">
        <v>82</v>
      </c>
      <c r="N16" s="14">
        <v>41453</v>
      </c>
      <c r="O16" s="13">
        <v>100</v>
      </c>
      <c r="P16" s="13">
        <v>100</v>
      </c>
      <c r="Q16" s="13"/>
      <c r="R16" s="13" t="s">
        <v>43</v>
      </c>
      <c r="S16" s="13" t="s">
        <v>43</v>
      </c>
      <c r="T16" s="13"/>
      <c r="U16" s="13"/>
      <c r="V16" s="13"/>
      <c r="W16" s="13"/>
      <c r="X16" s="13"/>
      <c r="Y16" s="13"/>
      <c r="Z16" s="13" t="s">
        <v>49</v>
      </c>
      <c r="AA16" s="13"/>
      <c r="AB16" s="13"/>
      <c r="AC16" s="13"/>
      <c r="AD16" s="13"/>
      <c r="AE16" s="13"/>
      <c r="AF16" s="15">
        <v>41397.792222222219</v>
      </c>
    </row>
    <row r="17" spans="4:32" ht="13.5">
      <c r="D17" s="13">
        <v>110209</v>
      </c>
      <c r="E17" s="14">
        <v>41397</v>
      </c>
      <c r="F17" s="13">
        <v>10024838</v>
      </c>
      <c r="G17" s="13" t="s">
        <v>72</v>
      </c>
      <c r="H17" s="13" t="s">
        <v>46</v>
      </c>
      <c r="I17" s="13" t="s">
        <v>73</v>
      </c>
      <c r="J17" s="13" t="s">
        <v>39</v>
      </c>
      <c r="K17" s="13" t="s">
        <v>40</v>
      </c>
      <c r="L17" s="13" t="s">
        <v>48</v>
      </c>
      <c r="M17" s="13">
        <v>84</v>
      </c>
      <c r="N17" s="14">
        <v>41447</v>
      </c>
      <c r="O17" s="13">
        <v>100</v>
      </c>
      <c r="P17" s="13">
        <v>100</v>
      </c>
      <c r="Q17" s="13"/>
      <c r="R17" s="13" t="s">
        <v>43</v>
      </c>
      <c r="S17" s="13" t="s">
        <v>43</v>
      </c>
      <c r="T17" s="13"/>
      <c r="U17" s="13"/>
      <c r="V17" s="13"/>
      <c r="W17" s="13"/>
      <c r="X17" s="13"/>
      <c r="Y17" s="13"/>
      <c r="Z17" s="13" t="s">
        <v>49</v>
      </c>
      <c r="AA17" s="13"/>
      <c r="AB17" s="13"/>
      <c r="AC17" s="13"/>
      <c r="AD17" s="13"/>
      <c r="AE17" s="2"/>
      <c r="AF17" s="15">
        <v>41397.792222222219</v>
      </c>
    </row>
    <row r="18" spans="4:32">
      <c r="D18" s="13">
        <v>110208</v>
      </c>
      <c r="E18" s="14">
        <v>41397</v>
      </c>
      <c r="F18" s="13">
        <v>10024837</v>
      </c>
      <c r="G18" s="13" t="s">
        <v>74</v>
      </c>
      <c r="H18" s="13" t="s">
        <v>46</v>
      </c>
      <c r="I18" s="13" t="s">
        <v>75</v>
      </c>
      <c r="J18" s="13" t="s">
        <v>39</v>
      </c>
      <c r="K18" s="13" t="s">
        <v>40</v>
      </c>
      <c r="L18" s="13" t="s">
        <v>48</v>
      </c>
      <c r="M18" s="13">
        <v>91</v>
      </c>
      <c r="N18" s="14">
        <v>41447</v>
      </c>
      <c r="O18" s="13">
        <v>100</v>
      </c>
      <c r="P18" s="13">
        <v>100</v>
      </c>
      <c r="Q18" s="13"/>
      <c r="R18" s="13" t="s">
        <v>43</v>
      </c>
      <c r="S18" s="13" t="s">
        <v>43</v>
      </c>
      <c r="T18" s="13"/>
      <c r="U18" s="13"/>
      <c r="V18" s="13"/>
      <c r="W18" s="13"/>
      <c r="X18" s="13"/>
      <c r="Y18" s="13"/>
      <c r="Z18" s="13" t="s">
        <v>49</v>
      </c>
      <c r="AA18" s="13"/>
      <c r="AB18" s="13"/>
      <c r="AC18" s="13"/>
      <c r="AD18" s="13"/>
      <c r="AE18" s="13"/>
      <c r="AF18" s="15">
        <v>41397.792222222219</v>
      </c>
    </row>
    <row r="19" spans="4:32">
      <c r="D19" s="13">
        <v>110207</v>
      </c>
      <c r="E19" s="14">
        <v>41397</v>
      </c>
      <c r="F19" s="13">
        <v>10024833</v>
      </c>
      <c r="G19" s="13" t="s">
        <v>76</v>
      </c>
      <c r="H19" s="13" t="s">
        <v>46</v>
      </c>
      <c r="I19" s="13" t="s">
        <v>77</v>
      </c>
      <c r="J19" s="13" t="s">
        <v>39</v>
      </c>
      <c r="K19" s="13" t="s">
        <v>40</v>
      </c>
      <c r="L19" s="13" t="s">
        <v>48</v>
      </c>
      <c r="M19" s="13">
        <v>95</v>
      </c>
      <c r="N19" s="14">
        <v>41412</v>
      </c>
      <c r="O19" s="13">
        <v>100</v>
      </c>
      <c r="P19" s="13">
        <v>100</v>
      </c>
      <c r="Q19" s="13"/>
      <c r="R19" s="13" t="s">
        <v>43</v>
      </c>
      <c r="S19" s="13" t="s">
        <v>43</v>
      </c>
      <c r="T19" s="13"/>
      <c r="U19" s="13"/>
      <c r="V19" s="13"/>
      <c r="W19" s="13"/>
      <c r="X19" s="13"/>
      <c r="Y19" s="13"/>
      <c r="Z19" s="13" t="s">
        <v>49</v>
      </c>
      <c r="AA19" s="13"/>
      <c r="AB19" s="13"/>
      <c r="AC19" s="13"/>
      <c r="AD19" s="13"/>
      <c r="AE19" s="13"/>
      <c r="AF19" s="15">
        <v>41397.792222222219</v>
      </c>
    </row>
    <row r="20" spans="4:32">
      <c r="D20" s="13">
        <v>110206</v>
      </c>
      <c r="E20" s="14">
        <v>41397</v>
      </c>
      <c r="F20" s="13">
        <v>10024825</v>
      </c>
      <c r="G20" s="13" t="s">
        <v>78</v>
      </c>
      <c r="H20" s="13" t="s">
        <v>46</v>
      </c>
      <c r="I20" s="13" t="s">
        <v>79</v>
      </c>
      <c r="J20" s="13" t="s">
        <v>39</v>
      </c>
      <c r="K20" s="13" t="s">
        <v>40</v>
      </c>
      <c r="L20" s="13" t="s">
        <v>48</v>
      </c>
      <c r="M20" s="13">
        <v>90</v>
      </c>
      <c r="N20" s="14">
        <v>41412</v>
      </c>
      <c r="O20" s="13">
        <v>100</v>
      </c>
      <c r="P20" s="13">
        <v>100</v>
      </c>
      <c r="Q20" s="13"/>
      <c r="R20" s="13" t="s">
        <v>43</v>
      </c>
      <c r="S20" s="13" t="s">
        <v>43</v>
      </c>
      <c r="T20" s="13"/>
      <c r="U20" s="13"/>
      <c r="V20" s="13"/>
      <c r="W20" s="13"/>
      <c r="X20" s="13"/>
      <c r="Y20" s="13"/>
      <c r="Z20" s="13" t="s">
        <v>49</v>
      </c>
      <c r="AA20" s="13"/>
      <c r="AB20" s="13"/>
      <c r="AC20" s="13"/>
      <c r="AD20" s="13"/>
      <c r="AE20" s="13"/>
      <c r="AF20" s="15">
        <v>41397.792222222219</v>
      </c>
    </row>
    <row r="21" spans="4:32">
      <c r="D21" s="13">
        <v>110205</v>
      </c>
      <c r="E21" s="14">
        <v>41397</v>
      </c>
      <c r="F21" s="13">
        <v>10024781</v>
      </c>
      <c r="G21" s="13" t="s">
        <v>80</v>
      </c>
      <c r="H21" s="13" t="s">
        <v>61</v>
      </c>
      <c r="I21" s="13" t="s">
        <v>81</v>
      </c>
      <c r="J21" s="13" t="s">
        <v>39</v>
      </c>
      <c r="K21" s="13" t="s">
        <v>40</v>
      </c>
      <c r="L21" s="13" t="s">
        <v>41</v>
      </c>
      <c r="M21" s="13">
        <v>6</v>
      </c>
      <c r="N21" s="14">
        <v>41412</v>
      </c>
      <c r="O21" s="13">
        <v>100</v>
      </c>
      <c r="P21" s="13">
        <v>100</v>
      </c>
      <c r="Q21" s="13"/>
      <c r="R21" s="13" t="s">
        <v>43</v>
      </c>
      <c r="S21" s="13" t="s">
        <v>43</v>
      </c>
      <c r="T21" s="13"/>
      <c r="U21" s="13"/>
      <c r="V21" s="13"/>
      <c r="W21" s="13"/>
      <c r="X21" s="13"/>
      <c r="Y21" s="13"/>
      <c r="Z21" s="13" t="s">
        <v>63</v>
      </c>
      <c r="AA21" s="13"/>
      <c r="AB21" s="13"/>
      <c r="AC21" s="13"/>
      <c r="AD21" s="13"/>
      <c r="AE21" s="13"/>
      <c r="AF21" s="15">
        <v>41397.792222222219</v>
      </c>
    </row>
    <row r="22" spans="4:32">
      <c r="D22" s="13">
        <v>110204</v>
      </c>
      <c r="E22" s="14">
        <v>41397</v>
      </c>
      <c r="F22" s="13">
        <v>10024777</v>
      </c>
      <c r="G22" s="13" t="s">
        <v>82</v>
      </c>
      <c r="H22" s="13" t="s">
        <v>61</v>
      </c>
      <c r="I22" s="13" t="s">
        <v>83</v>
      </c>
      <c r="J22" s="13" t="s">
        <v>39</v>
      </c>
      <c r="K22" s="13" t="s">
        <v>40</v>
      </c>
      <c r="L22" s="13" t="s">
        <v>41</v>
      </c>
      <c r="M22" s="13">
        <v>5.5</v>
      </c>
      <c r="N22" s="14">
        <v>41412</v>
      </c>
      <c r="O22" s="13">
        <v>100</v>
      </c>
      <c r="P22" s="13">
        <v>100</v>
      </c>
      <c r="Q22" s="13"/>
      <c r="R22" s="13" t="s">
        <v>43</v>
      </c>
      <c r="S22" s="13" t="s">
        <v>43</v>
      </c>
      <c r="T22" s="13"/>
      <c r="U22" s="13"/>
      <c r="V22" s="13"/>
      <c r="W22" s="13"/>
      <c r="X22" s="13"/>
      <c r="Y22" s="13"/>
      <c r="Z22" s="13" t="s">
        <v>63</v>
      </c>
      <c r="AA22" s="13"/>
      <c r="AB22" s="13"/>
      <c r="AC22" s="13"/>
      <c r="AD22" s="13"/>
      <c r="AE22" s="13"/>
      <c r="AF22" s="15">
        <v>41397.792222222219</v>
      </c>
    </row>
    <row r="23" spans="4:32">
      <c r="D23" s="13">
        <v>110203</v>
      </c>
      <c r="E23" s="14">
        <v>41397</v>
      </c>
      <c r="F23" s="13">
        <v>10024757</v>
      </c>
      <c r="G23" s="13" t="s">
        <v>84</v>
      </c>
      <c r="H23" s="13" t="s">
        <v>85</v>
      </c>
      <c r="I23" s="13" t="s">
        <v>86</v>
      </c>
      <c r="J23" s="13" t="s">
        <v>39</v>
      </c>
      <c r="K23" s="13" t="s">
        <v>53</v>
      </c>
      <c r="L23" s="13" t="s">
        <v>48</v>
      </c>
      <c r="M23" s="13">
        <v>2550</v>
      </c>
      <c r="N23" s="14">
        <v>41446</v>
      </c>
      <c r="O23" s="13">
        <v>10</v>
      </c>
      <c r="P23" s="13">
        <v>0</v>
      </c>
      <c r="Q23" s="13"/>
      <c r="R23" s="13" t="s">
        <v>87</v>
      </c>
      <c r="S23" s="13" t="s">
        <v>87</v>
      </c>
      <c r="T23" s="13"/>
      <c r="U23" s="13"/>
      <c r="V23" s="13"/>
      <c r="W23" s="13"/>
      <c r="X23" s="13"/>
      <c r="Y23" s="13"/>
      <c r="Z23" s="13" t="s">
        <v>88</v>
      </c>
      <c r="AA23" s="13"/>
      <c r="AB23" s="13"/>
      <c r="AC23" s="13"/>
      <c r="AD23" s="13"/>
      <c r="AE23" s="13"/>
      <c r="AF23" s="15">
        <v>41397.792222222219</v>
      </c>
    </row>
    <row r="24" spans="4:32">
      <c r="D24" s="13">
        <v>110202</v>
      </c>
      <c r="E24" s="14">
        <v>41397</v>
      </c>
      <c r="F24" s="13">
        <v>10024756</v>
      </c>
      <c r="G24" s="13" t="s">
        <v>89</v>
      </c>
      <c r="H24" s="13"/>
      <c r="I24" s="13" t="s">
        <v>90</v>
      </c>
      <c r="J24" s="13" t="s">
        <v>91</v>
      </c>
      <c r="K24" s="17" t="s">
        <v>53</v>
      </c>
      <c r="L24" s="17" t="s">
        <v>92</v>
      </c>
      <c r="M24" s="17">
        <v>1.19</v>
      </c>
      <c r="N24" s="18">
        <v>41445</v>
      </c>
      <c r="O24" s="17">
        <v>100000000</v>
      </c>
      <c r="P24" s="17">
        <v>0</v>
      </c>
      <c r="Q24" s="17" t="s">
        <v>3</v>
      </c>
      <c r="R24" s="17" t="s">
        <v>87</v>
      </c>
      <c r="S24" s="17" t="s">
        <v>93</v>
      </c>
      <c r="T24" s="17" t="s">
        <v>87</v>
      </c>
      <c r="U24" s="17" t="s">
        <v>87</v>
      </c>
      <c r="V24" s="17" t="s">
        <v>87</v>
      </c>
      <c r="W24" s="17" t="s">
        <v>93</v>
      </c>
      <c r="X24" s="17" t="s">
        <v>87</v>
      </c>
      <c r="Y24" s="17" t="s">
        <v>87</v>
      </c>
      <c r="Z24" s="17" t="s">
        <v>87</v>
      </c>
      <c r="AA24" s="17"/>
      <c r="AB24" s="17"/>
      <c r="AC24" s="17"/>
      <c r="AD24" s="17"/>
      <c r="AE24" s="17"/>
      <c r="AF24" s="19">
        <v>41397.792222222219</v>
      </c>
    </row>
    <row r="25" spans="4:32">
      <c r="D25" s="13">
        <v>110201</v>
      </c>
      <c r="E25" s="14">
        <v>41397</v>
      </c>
      <c r="F25" s="13">
        <v>10024754</v>
      </c>
      <c r="G25" s="13" t="s">
        <v>94</v>
      </c>
      <c r="H25" s="13" t="s">
        <v>95</v>
      </c>
      <c r="I25" s="13" t="s">
        <v>96</v>
      </c>
      <c r="J25" s="13" t="s">
        <v>39</v>
      </c>
      <c r="K25" s="13" t="s">
        <v>40</v>
      </c>
      <c r="L25" s="13" t="s">
        <v>48</v>
      </c>
      <c r="M25" s="13">
        <v>18</v>
      </c>
      <c r="N25" s="14">
        <v>41412</v>
      </c>
      <c r="O25" s="13">
        <v>100</v>
      </c>
      <c r="P25" s="13">
        <v>100</v>
      </c>
      <c r="Q25" s="13"/>
      <c r="R25" s="13" t="s">
        <v>43</v>
      </c>
      <c r="S25" s="13" t="s">
        <v>43</v>
      </c>
      <c r="T25" s="13"/>
      <c r="U25" s="13"/>
      <c r="V25" s="13"/>
      <c r="W25" s="13"/>
      <c r="X25" s="13"/>
      <c r="Y25" s="13"/>
      <c r="Z25" s="13" t="s">
        <v>97</v>
      </c>
      <c r="AA25" s="13"/>
      <c r="AB25" s="13"/>
      <c r="AC25" s="13"/>
      <c r="AD25" s="13"/>
      <c r="AE25" s="13"/>
      <c r="AF25" s="15">
        <v>41397.792222222219</v>
      </c>
    </row>
    <row r="26" spans="4:32">
      <c r="D26" s="13">
        <v>110200</v>
      </c>
      <c r="E26" s="14">
        <v>41397</v>
      </c>
      <c r="F26" s="13">
        <v>10024747</v>
      </c>
      <c r="G26" s="13" t="s">
        <v>98</v>
      </c>
      <c r="H26" s="13" t="s">
        <v>61</v>
      </c>
      <c r="I26" s="13" t="s">
        <v>99</v>
      </c>
      <c r="J26" s="13" t="s">
        <v>39</v>
      </c>
      <c r="K26" s="13" t="s">
        <v>40</v>
      </c>
      <c r="L26" s="13" t="s">
        <v>41</v>
      </c>
      <c r="M26" s="13">
        <v>5.5</v>
      </c>
      <c r="N26" s="14">
        <v>41447</v>
      </c>
      <c r="O26" s="13">
        <v>100</v>
      </c>
      <c r="P26" s="13">
        <v>100</v>
      </c>
      <c r="Q26" s="13"/>
      <c r="R26" s="13" t="s">
        <v>43</v>
      </c>
      <c r="S26" s="13" t="s">
        <v>43</v>
      </c>
      <c r="T26" s="13"/>
      <c r="U26" s="13"/>
      <c r="V26" s="13"/>
      <c r="W26" s="13"/>
      <c r="X26" s="13"/>
      <c r="Y26" s="13"/>
      <c r="Z26" s="13" t="s">
        <v>63</v>
      </c>
      <c r="AA26" s="13"/>
      <c r="AB26" s="13"/>
      <c r="AC26" s="13"/>
      <c r="AD26" s="13"/>
      <c r="AE26" s="13"/>
      <c r="AF26" s="15">
        <v>41397.792222222219</v>
      </c>
    </row>
    <row r="27" spans="4:32">
      <c r="D27" s="13">
        <v>110199</v>
      </c>
      <c r="E27" s="14">
        <v>41397</v>
      </c>
      <c r="F27" s="13">
        <v>10024745</v>
      </c>
      <c r="G27" s="13" t="s">
        <v>100</v>
      </c>
      <c r="H27" s="13" t="s">
        <v>101</v>
      </c>
      <c r="I27" s="13" t="s">
        <v>102</v>
      </c>
      <c r="J27" s="13" t="s">
        <v>39</v>
      </c>
      <c r="K27" s="13" t="s">
        <v>40</v>
      </c>
      <c r="L27" s="13" t="s">
        <v>41</v>
      </c>
      <c r="M27" s="13">
        <v>550</v>
      </c>
      <c r="N27" s="14">
        <v>41656</v>
      </c>
      <c r="O27" s="13">
        <v>100</v>
      </c>
      <c r="P27" s="13">
        <v>0</v>
      </c>
      <c r="Q27" s="13" t="s">
        <v>42</v>
      </c>
      <c r="R27" s="13" t="s">
        <v>43</v>
      </c>
      <c r="S27" s="13" t="s">
        <v>43</v>
      </c>
      <c r="T27" s="13"/>
      <c r="U27" s="13"/>
      <c r="V27" s="13"/>
      <c r="W27" s="13"/>
      <c r="X27" s="13"/>
      <c r="Y27" s="13"/>
      <c r="Z27" s="13" t="s">
        <v>103</v>
      </c>
      <c r="AA27" s="13"/>
      <c r="AB27" s="13"/>
      <c r="AC27" s="13"/>
      <c r="AD27" s="13"/>
      <c r="AE27" s="13"/>
      <c r="AF27" s="15">
        <v>41397.792222222219</v>
      </c>
    </row>
    <row r="28" spans="4:32">
      <c r="D28" s="13">
        <v>110198</v>
      </c>
      <c r="E28" s="14">
        <v>41397</v>
      </c>
      <c r="F28" s="13">
        <v>10024742</v>
      </c>
      <c r="G28" s="13" t="s">
        <v>104</v>
      </c>
      <c r="H28" s="13" t="s">
        <v>105</v>
      </c>
      <c r="I28" s="13" t="s">
        <v>106</v>
      </c>
      <c r="J28" s="13" t="s">
        <v>39</v>
      </c>
      <c r="K28" s="13" t="s">
        <v>40</v>
      </c>
      <c r="L28" s="13" t="s">
        <v>41</v>
      </c>
      <c r="M28" s="13">
        <v>90</v>
      </c>
      <c r="N28" s="14">
        <v>41657</v>
      </c>
      <c r="O28" s="13">
        <v>100</v>
      </c>
      <c r="P28" s="13">
        <v>100</v>
      </c>
      <c r="Q28" s="13"/>
      <c r="R28" s="13" t="s">
        <v>43</v>
      </c>
      <c r="S28" s="13" t="s">
        <v>43</v>
      </c>
      <c r="T28" s="13"/>
      <c r="U28" s="13"/>
      <c r="V28" s="13"/>
      <c r="W28" s="13"/>
      <c r="X28" s="13"/>
      <c r="Y28" s="13"/>
      <c r="Z28" s="13" t="s">
        <v>107</v>
      </c>
      <c r="AA28" s="13"/>
      <c r="AB28" s="13"/>
      <c r="AC28" s="13"/>
      <c r="AD28" s="13"/>
      <c r="AE28" s="13"/>
      <c r="AF28" s="15">
        <v>41397.792222222219</v>
      </c>
    </row>
    <row r="29" spans="4:32">
      <c r="D29" s="13">
        <v>110197</v>
      </c>
      <c r="E29" s="14">
        <v>41397</v>
      </c>
      <c r="F29" s="13">
        <v>10024740</v>
      </c>
      <c r="G29" s="13" t="s">
        <v>108</v>
      </c>
      <c r="H29" s="13" t="s">
        <v>109</v>
      </c>
      <c r="I29" s="13" t="s">
        <v>110</v>
      </c>
      <c r="J29" s="13" t="s">
        <v>39</v>
      </c>
      <c r="K29" s="13" t="s">
        <v>40</v>
      </c>
      <c r="L29" s="13" t="s">
        <v>48</v>
      </c>
      <c r="M29" s="13">
        <v>13</v>
      </c>
      <c r="N29" s="14">
        <v>41657</v>
      </c>
      <c r="O29" s="13">
        <v>100</v>
      </c>
      <c r="P29" s="13">
        <v>100</v>
      </c>
      <c r="Q29" s="13"/>
      <c r="R29" s="13" t="s">
        <v>43</v>
      </c>
      <c r="S29" s="13" t="s">
        <v>43</v>
      </c>
      <c r="T29" s="13"/>
      <c r="U29" s="13"/>
      <c r="V29" s="13"/>
      <c r="W29" s="13"/>
      <c r="X29" s="13"/>
      <c r="Y29" s="13"/>
      <c r="Z29" s="13" t="s">
        <v>111</v>
      </c>
      <c r="AA29" s="13"/>
      <c r="AB29" s="13"/>
      <c r="AC29" s="13"/>
      <c r="AD29" s="13"/>
      <c r="AE29" s="13"/>
      <c r="AF29" s="15">
        <v>41397.792222222219</v>
      </c>
    </row>
    <row r="30" spans="4:32">
      <c r="D30" s="13">
        <v>110196</v>
      </c>
      <c r="E30" s="14">
        <v>41397</v>
      </c>
      <c r="F30" s="13">
        <v>10024739</v>
      </c>
      <c r="G30" s="13" t="s">
        <v>112</v>
      </c>
      <c r="H30" s="13" t="s">
        <v>113</v>
      </c>
      <c r="I30" s="13" t="s">
        <v>114</v>
      </c>
      <c r="J30" s="13" t="s">
        <v>39</v>
      </c>
      <c r="K30" s="13" t="s">
        <v>40</v>
      </c>
      <c r="L30" s="13" t="s">
        <v>41</v>
      </c>
      <c r="M30" s="13">
        <v>24</v>
      </c>
      <c r="N30" s="14">
        <v>41537</v>
      </c>
      <c r="O30" s="13">
        <v>100</v>
      </c>
      <c r="P30" s="13">
        <v>0</v>
      </c>
      <c r="Q30" s="13" t="s">
        <v>42</v>
      </c>
      <c r="R30" s="13" t="s">
        <v>43</v>
      </c>
      <c r="S30" s="13" t="s">
        <v>43</v>
      </c>
      <c r="T30" s="13"/>
      <c r="U30" s="13"/>
      <c r="V30" s="13"/>
      <c r="W30" s="13"/>
      <c r="X30" s="13"/>
      <c r="Y30" s="13"/>
      <c r="Z30" s="13" t="s">
        <v>115</v>
      </c>
      <c r="AA30" s="13"/>
      <c r="AB30" s="13"/>
      <c r="AC30" s="13"/>
      <c r="AD30" s="13"/>
      <c r="AE30" s="16"/>
      <c r="AF30" s="15">
        <v>41397.792222222219</v>
      </c>
    </row>
    <row r="31" spans="4:32">
      <c r="D31" s="13">
        <v>110195</v>
      </c>
      <c r="E31" s="14">
        <v>41397</v>
      </c>
      <c r="F31" s="13">
        <v>10024727</v>
      </c>
      <c r="G31" s="13"/>
      <c r="H31" s="13"/>
      <c r="I31" s="13"/>
      <c r="J31" s="13"/>
      <c r="K31" s="13"/>
      <c r="L31" s="13"/>
      <c r="M31" s="20">
        <v>0</v>
      </c>
      <c r="N31" s="13"/>
      <c r="O31" s="13">
        <v>0</v>
      </c>
      <c r="P31" s="13">
        <v>0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5">
        <v>41397.792222222219</v>
      </c>
    </row>
    <row r="32" spans="4:32">
      <c r="D32" s="13">
        <v>110194</v>
      </c>
      <c r="E32" s="14">
        <v>41397</v>
      </c>
      <c r="F32" s="13">
        <v>10024726</v>
      </c>
      <c r="G32" s="13" t="s">
        <v>116</v>
      </c>
      <c r="H32" s="13" t="s">
        <v>117</v>
      </c>
      <c r="I32" s="13" t="s">
        <v>118</v>
      </c>
      <c r="J32" s="13" t="s">
        <v>39</v>
      </c>
      <c r="K32" s="13" t="s">
        <v>53</v>
      </c>
      <c r="L32" s="13" t="s">
        <v>48</v>
      </c>
      <c r="M32" s="20">
        <v>10481.4</v>
      </c>
      <c r="N32" s="14">
        <v>41627</v>
      </c>
      <c r="O32" s="13">
        <v>1</v>
      </c>
      <c r="P32" s="13">
        <v>0</v>
      </c>
      <c r="Q32" s="13" t="s">
        <v>42</v>
      </c>
      <c r="R32" s="13" t="s">
        <v>119</v>
      </c>
      <c r="S32" s="13" t="s">
        <v>119</v>
      </c>
      <c r="T32" s="13"/>
      <c r="U32" s="13"/>
      <c r="V32" s="13"/>
      <c r="W32" s="13"/>
      <c r="X32" s="13"/>
      <c r="Y32" s="13"/>
      <c r="Z32" s="13" t="s">
        <v>120</v>
      </c>
      <c r="AA32" s="13"/>
      <c r="AB32" s="13"/>
      <c r="AC32" s="13"/>
      <c r="AD32" s="13"/>
      <c r="AE32" s="13"/>
      <c r="AF32" s="15">
        <v>41397.792222222219</v>
      </c>
    </row>
    <row r="33" spans="4:32">
      <c r="D33" s="13">
        <v>110193</v>
      </c>
      <c r="E33" s="14">
        <v>41397</v>
      </c>
      <c r="F33" s="13">
        <v>10024713</v>
      </c>
      <c r="G33" s="13" t="s">
        <v>121</v>
      </c>
      <c r="H33" s="13" t="s">
        <v>122</v>
      </c>
      <c r="I33" s="13" t="s">
        <v>123</v>
      </c>
      <c r="J33" s="13" t="s">
        <v>39</v>
      </c>
      <c r="K33" s="13" t="s">
        <v>40</v>
      </c>
      <c r="L33" s="13" t="s">
        <v>48</v>
      </c>
      <c r="M33" s="20">
        <v>65</v>
      </c>
      <c r="N33" s="14">
        <v>41537</v>
      </c>
      <c r="O33" s="13">
        <v>100</v>
      </c>
      <c r="P33" s="13">
        <v>0</v>
      </c>
      <c r="Q33" s="13" t="s">
        <v>42</v>
      </c>
      <c r="R33" s="13" t="s">
        <v>43</v>
      </c>
      <c r="S33" s="13" t="s">
        <v>43</v>
      </c>
      <c r="T33" s="13"/>
      <c r="U33" s="13"/>
      <c r="V33" s="13"/>
      <c r="W33" s="13"/>
      <c r="X33" s="13"/>
      <c r="Y33" s="13"/>
      <c r="Z33" s="13" t="s">
        <v>124</v>
      </c>
      <c r="AA33" s="13"/>
      <c r="AB33" s="13"/>
      <c r="AC33" s="13"/>
      <c r="AD33" s="13"/>
      <c r="AE33" s="13"/>
      <c r="AF33" s="15">
        <v>41397.792222222219</v>
      </c>
    </row>
    <row r="34" spans="4:32">
      <c r="D34" s="13">
        <v>110192</v>
      </c>
      <c r="E34" s="14">
        <v>41397</v>
      </c>
      <c r="F34" s="13">
        <v>10024711</v>
      </c>
      <c r="G34" s="13" t="s">
        <v>125</v>
      </c>
      <c r="H34" s="13" t="s">
        <v>113</v>
      </c>
      <c r="I34" s="13" t="s">
        <v>126</v>
      </c>
      <c r="J34" s="13" t="s">
        <v>39</v>
      </c>
      <c r="K34" s="13" t="s">
        <v>40</v>
      </c>
      <c r="L34" s="13" t="s">
        <v>41</v>
      </c>
      <c r="M34" s="13">
        <v>23</v>
      </c>
      <c r="N34" s="20">
        <v>41537</v>
      </c>
      <c r="O34" s="13">
        <v>100</v>
      </c>
      <c r="P34" s="13">
        <v>0</v>
      </c>
      <c r="Q34" s="13" t="s">
        <v>42</v>
      </c>
      <c r="R34" s="13" t="s">
        <v>43</v>
      </c>
      <c r="S34" s="13" t="s">
        <v>43</v>
      </c>
      <c r="T34" s="13"/>
      <c r="U34" s="13"/>
      <c r="V34" s="13"/>
      <c r="W34" s="13"/>
      <c r="X34" s="13"/>
      <c r="Y34" s="13"/>
      <c r="Z34" s="13" t="s">
        <v>115</v>
      </c>
      <c r="AA34" s="13"/>
      <c r="AB34" s="13"/>
      <c r="AC34" s="13"/>
      <c r="AD34" s="13"/>
      <c r="AE34" s="13"/>
      <c r="AF34" s="15">
        <v>41397.792222222219</v>
      </c>
    </row>
    <row r="35" spans="4:32">
      <c r="D35" s="13">
        <v>110191</v>
      </c>
      <c r="E35" s="14">
        <v>41397</v>
      </c>
      <c r="F35" s="13">
        <v>10024710</v>
      </c>
      <c r="G35" s="13" t="s">
        <v>127</v>
      </c>
      <c r="H35" s="13" t="s">
        <v>113</v>
      </c>
      <c r="I35" s="13" t="s">
        <v>128</v>
      </c>
      <c r="J35" s="13" t="s">
        <v>39</v>
      </c>
      <c r="K35" s="13" t="s">
        <v>40</v>
      </c>
      <c r="L35" s="13" t="s">
        <v>41</v>
      </c>
      <c r="M35" s="13">
        <v>22</v>
      </c>
      <c r="N35" s="14">
        <v>41537</v>
      </c>
      <c r="O35" s="13">
        <v>100</v>
      </c>
      <c r="P35" s="13">
        <v>0</v>
      </c>
      <c r="Q35" s="13" t="s">
        <v>42</v>
      </c>
      <c r="R35" s="13" t="s">
        <v>43</v>
      </c>
      <c r="S35" s="13" t="s">
        <v>43</v>
      </c>
      <c r="T35" s="13"/>
      <c r="U35" s="13"/>
      <c r="V35" s="13"/>
      <c r="W35" s="13"/>
      <c r="X35" s="13"/>
      <c r="Y35" s="13"/>
      <c r="Z35" s="13" t="s">
        <v>115</v>
      </c>
      <c r="AA35" s="13"/>
      <c r="AB35" s="13"/>
      <c r="AC35" s="13"/>
      <c r="AD35" s="13"/>
      <c r="AE35" s="13"/>
      <c r="AF35" s="15">
        <v>41397.792222222219</v>
      </c>
    </row>
    <row r="36" spans="4:32">
      <c r="D36" s="13">
        <v>110190</v>
      </c>
      <c r="E36" s="14">
        <v>41397</v>
      </c>
      <c r="F36" s="13">
        <v>10024709</v>
      </c>
      <c r="G36" s="13" t="s">
        <v>129</v>
      </c>
      <c r="H36" s="13" t="s">
        <v>113</v>
      </c>
      <c r="I36" s="13" t="s">
        <v>130</v>
      </c>
      <c r="J36" s="13" t="s">
        <v>39</v>
      </c>
      <c r="K36" s="13" t="s">
        <v>40</v>
      </c>
      <c r="L36" s="13" t="s">
        <v>48</v>
      </c>
      <c r="M36" s="13">
        <v>19</v>
      </c>
      <c r="N36" s="14">
        <v>41537</v>
      </c>
      <c r="O36" s="13">
        <v>100</v>
      </c>
      <c r="P36" s="13">
        <v>0</v>
      </c>
      <c r="Q36" s="13" t="s">
        <v>131</v>
      </c>
      <c r="R36" s="13" t="s">
        <v>43</v>
      </c>
      <c r="S36" s="13" t="s">
        <v>43</v>
      </c>
      <c r="T36" s="13"/>
      <c r="U36" s="13"/>
      <c r="V36" s="13"/>
      <c r="W36" s="13"/>
      <c r="X36" s="13"/>
      <c r="Y36" s="13"/>
      <c r="Z36" s="13" t="s">
        <v>115</v>
      </c>
      <c r="AA36" s="13"/>
      <c r="AB36" s="13"/>
      <c r="AC36" s="13"/>
      <c r="AD36" s="13"/>
      <c r="AE36" s="13"/>
      <c r="AF36" s="15">
        <v>41397.792222222219</v>
      </c>
    </row>
    <row r="37" spans="4:32">
      <c r="D37" s="13">
        <v>110189</v>
      </c>
      <c r="E37" s="14">
        <v>41397</v>
      </c>
      <c r="F37" s="13">
        <v>10024707</v>
      </c>
      <c r="G37" s="13" t="s">
        <v>132</v>
      </c>
      <c r="H37" s="13" t="s">
        <v>101</v>
      </c>
      <c r="I37" s="13" t="s">
        <v>133</v>
      </c>
      <c r="J37" s="13" t="s">
        <v>39</v>
      </c>
      <c r="K37" s="13" t="s">
        <v>40</v>
      </c>
      <c r="L37" s="13" t="s">
        <v>41</v>
      </c>
      <c r="M37" s="20">
        <v>445</v>
      </c>
      <c r="N37" s="14">
        <v>41566</v>
      </c>
      <c r="O37" s="13">
        <v>100</v>
      </c>
      <c r="P37" s="13">
        <v>100</v>
      </c>
      <c r="Q37" s="13"/>
      <c r="R37" s="13" t="s">
        <v>43</v>
      </c>
      <c r="S37" s="13" t="s">
        <v>43</v>
      </c>
      <c r="T37" s="13"/>
      <c r="U37" s="13"/>
      <c r="V37" s="13"/>
      <c r="W37" s="13"/>
      <c r="X37" s="13"/>
      <c r="Y37" s="13"/>
      <c r="Z37" s="13" t="s">
        <v>103</v>
      </c>
      <c r="AA37" s="13"/>
      <c r="AB37" s="13"/>
      <c r="AC37" s="13"/>
      <c r="AD37" s="13"/>
      <c r="AE37" s="13"/>
      <c r="AF37" s="15">
        <v>41397.792222222219</v>
      </c>
    </row>
    <row r="38" spans="4:32">
      <c r="D38" s="13">
        <v>110188</v>
      </c>
      <c r="E38" s="14">
        <v>41397</v>
      </c>
      <c r="F38" s="13">
        <v>10024706</v>
      </c>
      <c r="G38" s="13" t="s">
        <v>134</v>
      </c>
      <c r="H38" s="13" t="s">
        <v>122</v>
      </c>
      <c r="I38" s="13" t="s">
        <v>135</v>
      </c>
      <c r="J38" s="13" t="s">
        <v>39</v>
      </c>
      <c r="K38" s="13" t="s">
        <v>40</v>
      </c>
      <c r="L38" s="13" t="s">
        <v>48</v>
      </c>
      <c r="M38" s="20">
        <v>64</v>
      </c>
      <c r="N38" s="14">
        <v>41537</v>
      </c>
      <c r="O38" s="13">
        <v>1</v>
      </c>
      <c r="P38" s="13">
        <v>0</v>
      </c>
      <c r="Q38" s="13" t="s">
        <v>42</v>
      </c>
      <c r="R38" s="13" t="s">
        <v>43</v>
      </c>
      <c r="S38" s="13" t="s">
        <v>43</v>
      </c>
      <c r="T38" s="13"/>
      <c r="U38" s="13"/>
      <c r="V38" s="13"/>
      <c r="W38" s="13"/>
      <c r="X38" s="13"/>
      <c r="Y38" s="13"/>
      <c r="Z38" s="13" t="s">
        <v>124</v>
      </c>
      <c r="AA38" s="13"/>
      <c r="AB38" s="13"/>
      <c r="AC38" s="13"/>
      <c r="AD38" s="13"/>
      <c r="AE38" s="13"/>
      <c r="AF38" s="15">
        <v>41397.792222222219</v>
      </c>
    </row>
    <row r="39" spans="4:32">
      <c r="D39" s="13">
        <v>110187</v>
      </c>
      <c r="E39" s="14">
        <v>41397</v>
      </c>
      <c r="F39" s="13">
        <v>10024705</v>
      </c>
      <c r="G39" s="13" t="s">
        <v>136</v>
      </c>
      <c r="H39" s="13" t="s">
        <v>113</v>
      </c>
      <c r="I39" s="13" t="s">
        <v>137</v>
      </c>
      <c r="J39" s="13" t="s">
        <v>39</v>
      </c>
      <c r="K39" s="13" t="s">
        <v>40</v>
      </c>
      <c r="L39" s="13" t="s">
        <v>48</v>
      </c>
      <c r="M39" s="20">
        <v>20</v>
      </c>
      <c r="N39" s="21">
        <v>41656</v>
      </c>
      <c r="O39" s="13">
        <v>100</v>
      </c>
      <c r="P39" s="13">
        <v>0</v>
      </c>
      <c r="Q39" s="13" t="s">
        <v>131</v>
      </c>
      <c r="R39" s="13" t="s">
        <v>43</v>
      </c>
      <c r="S39" s="13" t="s">
        <v>43</v>
      </c>
      <c r="T39" s="13"/>
      <c r="U39" s="13"/>
      <c r="V39" s="13"/>
      <c r="W39" s="13"/>
      <c r="X39" s="13"/>
      <c r="Y39" s="13"/>
      <c r="Z39" s="13" t="s">
        <v>115</v>
      </c>
      <c r="AA39" s="13"/>
      <c r="AB39" s="13"/>
      <c r="AC39" s="13"/>
      <c r="AD39" s="13"/>
      <c r="AE39" s="13"/>
      <c r="AF39" s="15">
        <v>41397.792222222219</v>
      </c>
    </row>
    <row r="40" spans="4:32">
      <c r="D40" s="13">
        <v>110186</v>
      </c>
      <c r="E40" s="14">
        <v>41397</v>
      </c>
      <c r="F40" s="13">
        <v>10024704</v>
      </c>
      <c r="G40" s="13" t="s">
        <v>138</v>
      </c>
      <c r="H40" s="13" t="s">
        <v>113</v>
      </c>
      <c r="I40" s="13" t="s">
        <v>139</v>
      </c>
      <c r="J40" s="13" t="s">
        <v>39</v>
      </c>
      <c r="K40" s="13" t="s">
        <v>40</v>
      </c>
      <c r="L40" s="13" t="s">
        <v>41</v>
      </c>
      <c r="M40" s="13">
        <v>23</v>
      </c>
      <c r="N40" s="14">
        <v>41656</v>
      </c>
      <c r="O40" s="13">
        <v>100</v>
      </c>
      <c r="P40" s="13">
        <v>0</v>
      </c>
      <c r="Q40" s="13" t="s">
        <v>42</v>
      </c>
      <c r="R40" s="13" t="s">
        <v>43</v>
      </c>
      <c r="S40" s="13" t="s">
        <v>43</v>
      </c>
      <c r="T40" s="13"/>
      <c r="U40" s="13"/>
      <c r="V40" s="13"/>
      <c r="W40" s="13"/>
      <c r="X40" s="13"/>
      <c r="Y40" s="13"/>
      <c r="Z40" s="13" t="s">
        <v>115</v>
      </c>
      <c r="AA40" s="13"/>
      <c r="AB40" s="13"/>
      <c r="AC40" s="13"/>
      <c r="AD40" s="13"/>
      <c r="AE40" s="13"/>
      <c r="AF40" s="15">
        <v>41397.792222222219</v>
      </c>
    </row>
    <row r="41" spans="4:32">
      <c r="D41" s="13">
        <v>110185</v>
      </c>
      <c r="E41" s="14">
        <v>41397</v>
      </c>
      <c r="F41" s="13">
        <v>10024701</v>
      </c>
      <c r="G41" s="13" t="s">
        <v>140</v>
      </c>
      <c r="H41" s="13" t="s">
        <v>101</v>
      </c>
      <c r="I41" s="13" t="s">
        <v>141</v>
      </c>
      <c r="J41" s="13" t="s">
        <v>39</v>
      </c>
      <c r="K41" s="13" t="s">
        <v>40</v>
      </c>
      <c r="L41" s="13" t="s">
        <v>41</v>
      </c>
      <c r="M41" s="13">
        <v>490</v>
      </c>
      <c r="N41" s="14">
        <v>41447</v>
      </c>
      <c r="O41" s="13">
        <v>100</v>
      </c>
      <c r="P41" s="13">
        <v>100</v>
      </c>
      <c r="Q41" s="13"/>
      <c r="R41" s="13" t="s">
        <v>43</v>
      </c>
      <c r="S41" s="13" t="s">
        <v>43</v>
      </c>
      <c r="T41" s="13"/>
      <c r="U41" s="13"/>
      <c r="V41" s="13"/>
      <c r="W41" s="13"/>
      <c r="X41" s="13"/>
      <c r="Y41" s="13"/>
      <c r="Z41" s="13" t="s">
        <v>103</v>
      </c>
      <c r="AA41" s="13"/>
      <c r="AB41" s="13"/>
      <c r="AC41" s="13"/>
      <c r="AD41" s="13"/>
      <c r="AE41" s="13"/>
      <c r="AF41" s="15">
        <v>41397.792222222219</v>
      </c>
    </row>
    <row r="42" spans="4:32">
      <c r="D42" s="13">
        <v>110184</v>
      </c>
      <c r="E42" s="14">
        <v>41397</v>
      </c>
      <c r="F42" s="13">
        <v>10024694</v>
      </c>
      <c r="G42" s="13" t="s">
        <v>142</v>
      </c>
      <c r="H42" s="13" t="s">
        <v>101</v>
      </c>
      <c r="I42" s="13" t="s">
        <v>143</v>
      </c>
      <c r="J42" s="13" t="s">
        <v>39</v>
      </c>
      <c r="K42" s="13" t="s">
        <v>40</v>
      </c>
      <c r="L42" s="13" t="s">
        <v>41</v>
      </c>
      <c r="M42" s="13">
        <v>480</v>
      </c>
      <c r="N42" s="14">
        <v>41447</v>
      </c>
      <c r="O42" s="13">
        <v>100</v>
      </c>
      <c r="P42" s="13">
        <v>100</v>
      </c>
      <c r="Q42" s="13"/>
      <c r="R42" s="13" t="s">
        <v>43</v>
      </c>
      <c r="S42" s="13" t="s">
        <v>43</v>
      </c>
      <c r="T42" s="13"/>
      <c r="U42" s="13"/>
      <c r="V42" s="13"/>
      <c r="W42" s="13"/>
      <c r="X42" s="13"/>
      <c r="Y42" s="13"/>
      <c r="Z42" s="13" t="s">
        <v>103</v>
      </c>
      <c r="AA42" s="13"/>
      <c r="AB42" s="13"/>
      <c r="AC42" s="13"/>
      <c r="AD42" s="13"/>
      <c r="AE42" s="13"/>
      <c r="AF42" s="15">
        <v>41397.792222222219</v>
      </c>
    </row>
    <row r="43" spans="4:32">
      <c r="D43" s="13">
        <v>110183</v>
      </c>
      <c r="E43" s="14">
        <v>41397</v>
      </c>
      <c r="F43" s="13">
        <v>10024690</v>
      </c>
      <c r="G43" s="13" t="s">
        <v>144</v>
      </c>
      <c r="H43" s="13" t="s">
        <v>101</v>
      </c>
      <c r="I43" s="13" t="s">
        <v>145</v>
      </c>
      <c r="J43" s="13" t="s">
        <v>39</v>
      </c>
      <c r="K43" s="13" t="s">
        <v>40</v>
      </c>
      <c r="L43" s="13" t="s">
        <v>41</v>
      </c>
      <c r="M43" s="13">
        <v>500</v>
      </c>
      <c r="N43" s="14">
        <v>41565</v>
      </c>
      <c r="O43" s="13">
        <v>100</v>
      </c>
      <c r="P43" s="13">
        <v>0</v>
      </c>
      <c r="Q43" s="13" t="s">
        <v>42</v>
      </c>
      <c r="R43" s="13" t="s">
        <v>43</v>
      </c>
      <c r="S43" s="13" t="s">
        <v>43</v>
      </c>
      <c r="T43" s="13"/>
      <c r="U43" s="13"/>
      <c r="V43" s="13"/>
      <c r="W43" s="13"/>
      <c r="X43" s="13"/>
      <c r="Y43" s="13"/>
      <c r="Z43" s="13" t="s">
        <v>103</v>
      </c>
      <c r="AA43" s="13"/>
      <c r="AB43" s="13"/>
      <c r="AC43" s="13"/>
      <c r="AD43" s="13"/>
      <c r="AE43" s="13"/>
      <c r="AF43" s="15">
        <v>41397.792222222219</v>
      </c>
    </row>
    <row r="44" spans="4:32">
      <c r="D44" s="13">
        <v>110182</v>
      </c>
      <c r="E44" s="14">
        <v>41397</v>
      </c>
      <c r="F44" s="13">
        <v>10024688</v>
      </c>
      <c r="G44" s="13" t="s">
        <v>146</v>
      </c>
      <c r="H44" s="13" t="s">
        <v>101</v>
      </c>
      <c r="I44" s="13" t="s">
        <v>147</v>
      </c>
      <c r="J44" s="13" t="s">
        <v>39</v>
      </c>
      <c r="K44" s="13" t="s">
        <v>40</v>
      </c>
      <c r="L44" s="13" t="s">
        <v>41</v>
      </c>
      <c r="M44" s="13">
        <v>485</v>
      </c>
      <c r="N44" s="14">
        <v>41565</v>
      </c>
      <c r="O44" s="13">
        <v>100</v>
      </c>
      <c r="P44" s="13">
        <v>0</v>
      </c>
      <c r="Q44" s="13" t="s">
        <v>42</v>
      </c>
      <c r="R44" s="13" t="s">
        <v>43</v>
      </c>
      <c r="S44" s="13" t="s">
        <v>43</v>
      </c>
      <c r="T44" s="13"/>
      <c r="U44" s="13"/>
      <c r="V44" s="13"/>
      <c r="W44" s="13"/>
      <c r="X44" s="13"/>
      <c r="Y44" s="13"/>
      <c r="Z44" s="13" t="s">
        <v>103</v>
      </c>
      <c r="AA44" s="13"/>
      <c r="AB44" s="13"/>
      <c r="AC44" s="13"/>
      <c r="AD44" s="13"/>
      <c r="AE44" s="13"/>
      <c r="AF44" s="15">
        <v>41397.792222222219</v>
      </c>
    </row>
    <row r="45" spans="4:32">
      <c r="D45" s="13">
        <v>110181</v>
      </c>
      <c r="E45" s="14">
        <v>41397</v>
      </c>
      <c r="F45" s="13">
        <v>10024684</v>
      </c>
      <c r="G45" s="13" t="s">
        <v>148</v>
      </c>
      <c r="H45" s="13" t="s">
        <v>113</v>
      </c>
      <c r="I45" s="13" t="s">
        <v>149</v>
      </c>
      <c r="J45" s="13" t="s">
        <v>39</v>
      </c>
      <c r="K45" s="13" t="s">
        <v>40</v>
      </c>
      <c r="L45" s="13" t="s">
        <v>41</v>
      </c>
      <c r="M45" s="13">
        <v>25</v>
      </c>
      <c r="N45" s="14">
        <v>41656</v>
      </c>
      <c r="O45" s="13">
        <v>100</v>
      </c>
      <c r="P45" s="13">
        <v>0</v>
      </c>
      <c r="Q45" s="13" t="s">
        <v>42</v>
      </c>
      <c r="R45" s="13" t="s">
        <v>43</v>
      </c>
      <c r="S45" s="13" t="s">
        <v>43</v>
      </c>
      <c r="T45" s="13"/>
      <c r="U45" s="13"/>
      <c r="V45" s="13"/>
      <c r="W45" s="13"/>
      <c r="X45" s="13"/>
      <c r="Y45" s="13"/>
      <c r="Z45" s="13" t="s">
        <v>115</v>
      </c>
      <c r="AA45" s="13"/>
      <c r="AB45" s="13"/>
      <c r="AC45" s="13"/>
      <c r="AD45" s="13"/>
      <c r="AE45" s="13"/>
      <c r="AF45" s="15">
        <v>41397.792222222219</v>
      </c>
    </row>
    <row r="46" spans="4:32">
      <c r="D46" s="13">
        <v>110180</v>
      </c>
      <c r="E46" s="14">
        <v>41397</v>
      </c>
      <c r="F46" s="13">
        <v>10024683</v>
      </c>
      <c r="G46" s="13" t="s">
        <v>150</v>
      </c>
      <c r="H46" s="13" t="s">
        <v>113</v>
      </c>
      <c r="I46" s="13" t="s">
        <v>151</v>
      </c>
      <c r="J46" s="13" t="s">
        <v>39</v>
      </c>
      <c r="K46" s="13" t="s">
        <v>40</v>
      </c>
      <c r="L46" s="13" t="s">
        <v>48</v>
      </c>
      <c r="M46" s="13">
        <v>20</v>
      </c>
      <c r="N46" s="14">
        <v>41656</v>
      </c>
      <c r="O46" s="13">
        <v>100</v>
      </c>
      <c r="P46" s="13">
        <v>0</v>
      </c>
      <c r="Q46" s="13" t="s">
        <v>131</v>
      </c>
      <c r="R46" s="13" t="s">
        <v>43</v>
      </c>
      <c r="S46" s="13" t="s">
        <v>43</v>
      </c>
      <c r="T46" s="13"/>
      <c r="U46" s="13"/>
      <c r="V46" s="13"/>
      <c r="W46" s="13"/>
      <c r="X46" s="13"/>
      <c r="Y46" s="13"/>
      <c r="Z46" s="13" t="s">
        <v>115</v>
      </c>
      <c r="AA46" s="13"/>
      <c r="AB46" s="13"/>
      <c r="AC46" s="13"/>
      <c r="AD46" s="13"/>
      <c r="AE46" s="13"/>
      <c r="AF46" s="15">
        <v>41397.792222222219</v>
      </c>
    </row>
    <row r="47" spans="4:32">
      <c r="D47" s="13">
        <v>110179</v>
      </c>
      <c r="E47" s="14">
        <v>41397</v>
      </c>
      <c r="F47" s="13">
        <v>10024681</v>
      </c>
      <c r="G47" s="13" t="s">
        <v>152</v>
      </c>
      <c r="H47" s="13" t="s">
        <v>101</v>
      </c>
      <c r="I47" s="13" t="s">
        <v>153</v>
      </c>
      <c r="J47" s="13" t="s">
        <v>39</v>
      </c>
      <c r="K47" s="13" t="s">
        <v>40</v>
      </c>
      <c r="L47" s="13" t="s">
        <v>41</v>
      </c>
      <c r="M47" s="13">
        <v>500</v>
      </c>
      <c r="N47" s="14">
        <v>41565</v>
      </c>
      <c r="O47" s="13">
        <v>100</v>
      </c>
      <c r="P47" s="13">
        <v>0</v>
      </c>
      <c r="Q47" s="13" t="s">
        <v>42</v>
      </c>
      <c r="R47" s="13" t="s">
        <v>43</v>
      </c>
      <c r="S47" s="13" t="s">
        <v>43</v>
      </c>
      <c r="T47" s="13"/>
      <c r="U47" s="13"/>
      <c r="V47" s="13"/>
      <c r="W47" s="13"/>
      <c r="X47" s="13"/>
      <c r="Y47" s="13"/>
      <c r="Z47" s="13" t="s">
        <v>103</v>
      </c>
      <c r="AA47" s="13"/>
      <c r="AB47" s="13"/>
      <c r="AC47" s="13"/>
      <c r="AD47" s="13"/>
      <c r="AE47" s="13"/>
      <c r="AF47" s="15">
        <v>41397.792222222219</v>
      </c>
    </row>
    <row r="48" spans="4:32">
      <c r="D48" s="13">
        <v>110178</v>
      </c>
      <c r="E48" s="14">
        <v>41397</v>
      </c>
      <c r="F48" s="13">
        <v>10024676</v>
      </c>
      <c r="G48" s="13" t="s">
        <v>154</v>
      </c>
      <c r="H48" s="13" t="s">
        <v>109</v>
      </c>
      <c r="I48" s="13" t="s">
        <v>155</v>
      </c>
      <c r="J48" s="13" t="s">
        <v>39</v>
      </c>
      <c r="K48" s="13" t="s">
        <v>40</v>
      </c>
      <c r="L48" s="13" t="s">
        <v>48</v>
      </c>
      <c r="M48" s="13">
        <v>15</v>
      </c>
      <c r="N48" s="14">
        <v>41657</v>
      </c>
      <c r="O48" s="13">
        <v>100</v>
      </c>
      <c r="P48" s="13">
        <v>100</v>
      </c>
      <c r="Q48" s="13"/>
      <c r="R48" s="13" t="s">
        <v>43</v>
      </c>
      <c r="S48" s="13" t="s">
        <v>43</v>
      </c>
      <c r="T48" s="13"/>
      <c r="U48" s="13"/>
      <c r="V48" s="13"/>
      <c r="W48" s="13"/>
      <c r="X48" s="13"/>
      <c r="Y48" s="13"/>
      <c r="Z48" s="13" t="s">
        <v>111</v>
      </c>
      <c r="AA48" s="13"/>
      <c r="AB48" s="13"/>
      <c r="AC48" s="13"/>
      <c r="AD48" s="13"/>
      <c r="AE48" s="13"/>
      <c r="AF48" s="15">
        <v>41397.792222222219</v>
      </c>
    </row>
    <row r="49" spans="4:32">
      <c r="D49" s="13">
        <v>110177</v>
      </c>
      <c r="E49" s="14">
        <v>41397</v>
      </c>
      <c r="F49" s="13">
        <v>10024656</v>
      </c>
      <c r="G49" s="13" t="s">
        <v>156</v>
      </c>
      <c r="H49" s="13" t="s">
        <v>122</v>
      </c>
      <c r="I49" s="13" t="s">
        <v>157</v>
      </c>
      <c r="J49" s="13" t="s">
        <v>39</v>
      </c>
      <c r="K49" s="13" t="s">
        <v>40</v>
      </c>
      <c r="L49" s="13" t="s">
        <v>48</v>
      </c>
      <c r="M49" s="13">
        <v>65</v>
      </c>
      <c r="N49" s="14">
        <v>41447</v>
      </c>
      <c r="O49" s="13">
        <v>100</v>
      </c>
      <c r="P49" s="13">
        <v>100</v>
      </c>
      <c r="Q49" s="13"/>
      <c r="R49" s="13" t="s">
        <v>43</v>
      </c>
      <c r="S49" s="13" t="s">
        <v>43</v>
      </c>
      <c r="T49" s="13"/>
      <c r="U49" s="13"/>
      <c r="V49" s="13"/>
      <c r="W49" s="13"/>
      <c r="X49" s="13"/>
      <c r="Y49" s="13"/>
      <c r="Z49" s="13" t="s">
        <v>124</v>
      </c>
      <c r="AA49" s="13"/>
      <c r="AB49" s="13"/>
      <c r="AC49" s="13"/>
      <c r="AD49" s="13"/>
      <c r="AE49" s="13"/>
      <c r="AF49" s="15">
        <v>41397.792222222219</v>
      </c>
    </row>
    <row r="50" spans="4:32">
      <c r="D50" s="13">
        <v>110176</v>
      </c>
      <c r="E50" s="14">
        <v>41397</v>
      </c>
      <c r="F50" s="13">
        <v>10024650</v>
      </c>
      <c r="G50" s="13" t="s">
        <v>158</v>
      </c>
      <c r="H50" s="13" t="s">
        <v>109</v>
      </c>
      <c r="I50" s="13" t="s">
        <v>159</v>
      </c>
      <c r="J50" s="13" t="s">
        <v>39</v>
      </c>
      <c r="K50" s="13" t="s">
        <v>40</v>
      </c>
      <c r="L50" s="13" t="s">
        <v>48</v>
      </c>
      <c r="M50" s="13">
        <v>10</v>
      </c>
      <c r="N50" s="14">
        <v>41657</v>
      </c>
      <c r="O50" s="13">
        <v>100</v>
      </c>
      <c r="P50" s="13">
        <v>100</v>
      </c>
      <c r="Q50" s="13"/>
      <c r="R50" s="13" t="s">
        <v>43</v>
      </c>
      <c r="S50" s="13" t="s">
        <v>43</v>
      </c>
      <c r="T50" s="13"/>
      <c r="U50" s="13"/>
      <c r="V50" s="13"/>
      <c r="W50" s="13"/>
      <c r="X50" s="13"/>
      <c r="Y50" s="13"/>
      <c r="Z50" s="13" t="s">
        <v>111</v>
      </c>
      <c r="AA50" s="13"/>
      <c r="AB50" s="13"/>
      <c r="AC50" s="13"/>
      <c r="AD50" s="13"/>
      <c r="AE50" s="13"/>
      <c r="AF50" s="15">
        <v>41397.792222222219</v>
      </c>
    </row>
    <row r="51" spans="4:32">
      <c r="D51" s="13">
        <v>110175</v>
      </c>
      <c r="E51" s="14">
        <v>41397</v>
      </c>
      <c r="F51" s="13">
        <v>10024479</v>
      </c>
      <c r="G51" s="13" t="s">
        <v>160</v>
      </c>
      <c r="H51" s="13" t="s">
        <v>51</v>
      </c>
      <c r="I51" s="13" t="s">
        <v>161</v>
      </c>
      <c r="J51" s="13" t="s">
        <v>39</v>
      </c>
      <c r="K51" s="13" t="s">
        <v>53</v>
      </c>
      <c r="L51" s="13" t="s">
        <v>48</v>
      </c>
      <c r="M51" s="13">
        <v>1325</v>
      </c>
      <c r="N51" s="14">
        <v>41538</v>
      </c>
      <c r="O51" s="13">
        <v>100</v>
      </c>
      <c r="P51" s="13">
        <v>0</v>
      </c>
      <c r="Q51" s="13"/>
      <c r="R51" s="13" t="s">
        <v>43</v>
      </c>
      <c r="S51" s="13" t="s">
        <v>43</v>
      </c>
      <c r="T51" s="13"/>
      <c r="U51" s="13"/>
      <c r="V51" s="13"/>
      <c r="W51" s="13"/>
      <c r="X51" s="13"/>
      <c r="Y51" s="13"/>
      <c r="Z51" s="13" t="s">
        <v>51</v>
      </c>
      <c r="AA51" s="13"/>
      <c r="AB51" s="13"/>
      <c r="AC51" s="13"/>
      <c r="AD51" s="13"/>
      <c r="AE51" s="13"/>
      <c r="AF51" s="15">
        <v>41397.792222222219</v>
      </c>
    </row>
    <row r="52" spans="4:32">
      <c r="D52" s="13">
        <v>110174</v>
      </c>
      <c r="E52" s="14">
        <v>41397</v>
      </c>
      <c r="F52" s="13">
        <v>10023708</v>
      </c>
      <c r="G52" s="13" t="s">
        <v>162</v>
      </c>
      <c r="H52" s="13" t="s">
        <v>163</v>
      </c>
      <c r="I52" s="13" t="s">
        <v>164</v>
      </c>
      <c r="J52" s="13" t="s">
        <v>39</v>
      </c>
      <c r="K52" s="13" t="s">
        <v>40</v>
      </c>
      <c r="L52" s="13" t="s">
        <v>41</v>
      </c>
      <c r="M52" s="13">
        <v>9.81</v>
      </c>
      <c r="N52" s="14">
        <v>42885</v>
      </c>
      <c r="O52" s="13">
        <v>1</v>
      </c>
      <c r="P52" s="13">
        <v>0</v>
      </c>
      <c r="Q52" s="13" t="s">
        <v>42</v>
      </c>
      <c r="R52" s="13" t="s">
        <v>43</v>
      </c>
      <c r="S52" s="13" t="s">
        <v>43</v>
      </c>
      <c r="T52" s="13"/>
      <c r="U52" s="13"/>
      <c r="V52" s="13"/>
      <c r="W52" s="13"/>
      <c r="X52" s="13"/>
      <c r="Y52" s="13"/>
      <c r="Z52" s="13" t="s">
        <v>165</v>
      </c>
      <c r="AA52" s="13"/>
      <c r="AB52" s="13"/>
      <c r="AC52" s="13"/>
      <c r="AD52" s="13"/>
      <c r="AE52" s="13"/>
      <c r="AF52" s="15">
        <v>41397.792222222219</v>
      </c>
    </row>
    <row r="53" spans="4:32">
      <c r="D53" s="13">
        <v>110173</v>
      </c>
      <c r="E53" s="14">
        <v>41397</v>
      </c>
      <c r="F53" s="13">
        <v>10023707</v>
      </c>
      <c r="G53" s="13" t="s">
        <v>166</v>
      </c>
      <c r="H53" s="13" t="s">
        <v>163</v>
      </c>
      <c r="I53" s="13" t="s">
        <v>167</v>
      </c>
      <c r="J53" s="13" t="s">
        <v>39</v>
      </c>
      <c r="K53" s="13" t="s">
        <v>40</v>
      </c>
      <c r="L53" s="13" t="s">
        <v>41</v>
      </c>
      <c r="M53" s="13">
        <v>9.81</v>
      </c>
      <c r="N53" s="14">
        <v>42885</v>
      </c>
      <c r="O53" s="13">
        <v>1</v>
      </c>
      <c r="P53" s="13">
        <v>0</v>
      </c>
      <c r="Q53" s="13" t="s">
        <v>42</v>
      </c>
      <c r="R53" s="13" t="s">
        <v>43</v>
      </c>
      <c r="S53" s="13" t="s">
        <v>43</v>
      </c>
      <c r="T53" s="13"/>
      <c r="U53" s="13"/>
      <c r="V53" s="13"/>
      <c r="W53" s="13"/>
      <c r="X53" s="13"/>
      <c r="Y53" s="13"/>
      <c r="Z53" s="13" t="s">
        <v>165</v>
      </c>
      <c r="AA53" s="13"/>
      <c r="AB53" s="13"/>
      <c r="AC53" s="13"/>
      <c r="AD53" s="13"/>
      <c r="AE53" s="13"/>
      <c r="AF53" s="15">
        <v>41397.792222222219</v>
      </c>
    </row>
    <row r="54" spans="4:32">
      <c r="D54" s="13">
        <v>110172</v>
      </c>
      <c r="E54" s="14">
        <v>41397</v>
      </c>
      <c r="F54" s="13">
        <v>10023705</v>
      </c>
      <c r="G54" s="13" t="s">
        <v>168</v>
      </c>
      <c r="H54" s="13" t="s">
        <v>163</v>
      </c>
      <c r="I54" s="13" t="s">
        <v>169</v>
      </c>
      <c r="J54" s="13" t="s">
        <v>39</v>
      </c>
      <c r="K54" s="13" t="s">
        <v>40</v>
      </c>
      <c r="L54" s="13" t="s">
        <v>41</v>
      </c>
      <c r="M54" s="13">
        <v>9.81</v>
      </c>
      <c r="N54" s="14">
        <v>42885</v>
      </c>
      <c r="O54" s="13">
        <v>1</v>
      </c>
      <c r="P54" s="13">
        <v>0</v>
      </c>
      <c r="Q54" s="13" t="s">
        <v>42</v>
      </c>
      <c r="R54" s="13" t="s">
        <v>43</v>
      </c>
      <c r="S54" s="13" t="s">
        <v>43</v>
      </c>
      <c r="T54" s="13"/>
      <c r="U54" s="13"/>
      <c r="V54" s="13"/>
      <c r="W54" s="13"/>
      <c r="X54" s="13"/>
      <c r="Y54" s="13"/>
      <c r="Z54" s="13" t="s">
        <v>165</v>
      </c>
      <c r="AA54" s="13"/>
      <c r="AB54" s="13"/>
      <c r="AC54" s="13"/>
      <c r="AD54" s="13"/>
      <c r="AE54" s="13"/>
      <c r="AF54" s="15">
        <v>41397.792222222219</v>
      </c>
    </row>
    <row r="55" spans="4:32">
      <c r="D55" s="13">
        <v>110171</v>
      </c>
      <c r="E55" s="14">
        <v>41397</v>
      </c>
      <c r="F55" s="13">
        <v>10023704</v>
      </c>
      <c r="G55" s="13" t="s">
        <v>170</v>
      </c>
      <c r="H55" s="13" t="s">
        <v>163</v>
      </c>
      <c r="I55" s="13" t="s">
        <v>171</v>
      </c>
      <c r="J55" s="13" t="s">
        <v>39</v>
      </c>
      <c r="K55" s="13" t="s">
        <v>40</v>
      </c>
      <c r="L55" s="13" t="s">
        <v>41</v>
      </c>
      <c r="M55" s="13">
        <v>9.81</v>
      </c>
      <c r="N55" s="14">
        <v>42885</v>
      </c>
      <c r="O55" s="13">
        <v>1</v>
      </c>
      <c r="P55" s="13">
        <v>0</v>
      </c>
      <c r="Q55" s="13" t="s">
        <v>42</v>
      </c>
      <c r="R55" s="13" t="s">
        <v>43</v>
      </c>
      <c r="S55" s="13" t="s">
        <v>43</v>
      </c>
      <c r="T55" s="13"/>
      <c r="U55" s="13"/>
      <c r="V55" s="13"/>
      <c r="W55" s="13"/>
      <c r="X55" s="13"/>
      <c r="Y55" s="13"/>
      <c r="Z55" s="13" t="s">
        <v>165</v>
      </c>
      <c r="AA55" s="13"/>
      <c r="AB55" s="13"/>
      <c r="AC55" s="13"/>
      <c r="AD55" s="13"/>
      <c r="AE55" s="13"/>
      <c r="AF55" s="15">
        <v>41397.792222222219</v>
      </c>
    </row>
    <row r="56" spans="4:32">
      <c r="D56" s="13">
        <v>110170</v>
      </c>
      <c r="E56" s="14">
        <v>41397</v>
      </c>
      <c r="F56" s="13">
        <v>10023679</v>
      </c>
      <c r="G56" s="13" t="s">
        <v>172</v>
      </c>
      <c r="H56" s="13"/>
      <c r="I56" s="13" t="s">
        <v>173</v>
      </c>
      <c r="J56" s="13" t="s">
        <v>91</v>
      </c>
      <c r="K56" s="13" t="s">
        <v>53</v>
      </c>
      <c r="L56" s="13" t="s">
        <v>39</v>
      </c>
      <c r="M56" s="13">
        <v>3.7446999999999999</v>
      </c>
      <c r="N56" s="14">
        <v>41792</v>
      </c>
      <c r="O56" s="13">
        <v>100000000</v>
      </c>
      <c r="P56" s="13">
        <v>0</v>
      </c>
      <c r="Q56" s="13" t="s">
        <v>3</v>
      </c>
      <c r="R56" s="13" t="s">
        <v>43</v>
      </c>
      <c r="S56" s="13" t="s">
        <v>174</v>
      </c>
      <c r="T56" s="13" t="s">
        <v>43</v>
      </c>
      <c r="U56" s="13" t="s">
        <v>43</v>
      </c>
      <c r="V56" s="13" t="s">
        <v>43</v>
      </c>
      <c r="W56" s="13" t="s">
        <v>174</v>
      </c>
      <c r="X56" s="13" t="s">
        <v>43</v>
      </c>
      <c r="Y56" s="13" t="s">
        <v>43</v>
      </c>
      <c r="Z56" s="13" t="s">
        <v>43</v>
      </c>
      <c r="AA56" s="13"/>
      <c r="AB56" s="13"/>
      <c r="AC56" s="13"/>
      <c r="AD56" s="13"/>
      <c r="AE56" s="13"/>
      <c r="AF56" s="15">
        <v>41397.792222222219</v>
      </c>
    </row>
    <row r="57" spans="4:32">
      <c r="D57" s="13">
        <v>110169</v>
      </c>
      <c r="E57" s="14">
        <v>41397</v>
      </c>
      <c r="F57" s="13">
        <v>10023678</v>
      </c>
      <c r="G57" s="13" t="s">
        <v>175</v>
      </c>
      <c r="H57" s="13"/>
      <c r="I57" s="13" t="s">
        <v>176</v>
      </c>
      <c r="J57" s="13" t="s">
        <v>91</v>
      </c>
      <c r="K57" s="13" t="s">
        <v>53</v>
      </c>
      <c r="L57" s="13" t="s">
        <v>92</v>
      </c>
      <c r="M57" s="13">
        <v>3.7446999999999999</v>
      </c>
      <c r="N57" s="14">
        <v>41792</v>
      </c>
      <c r="O57" s="13">
        <v>100000000</v>
      </c>
      <c r="P57" s="13">
        <v>0</v>
      </c>
      <c r="Q57" s="13" t="s">
        <v>3</v>
      </c>
      <c r="R57" s="13" t="s">
        <v>43</v>
      </c>
      <c r="S57" s="13" t="s">
        <v>174</v>
      </c>
      <c r="T57" s="13" t="s">
        <v>43</v>
      </c>
      <c r="U57" s="13" t="s">
        <v>43</v>
      </c>
      <c r="V57" s="13" t="s">
        <v>43</v>
      </c>
      <c r="W57" s="13" t="s">
        <v>174</v>
      </c>
      <c r="X57" s="13" t="s">
        <v>43</v>
      </c>
      <c r="Y57" s="13" t="s">
        <v>43</v>
      </c>
      <c r="Z57" s="13" t="s">
        <v>43</v>
      </c>
      <c r="AA57" s="13"/>
      <c r="AB57" s="13"/>
      <c r="AC57" s="13"/>
      <c r="AD57" s="13"/>
      <c r="AE57" s="13"/>
      <c r="AF57" s="15">
        <v>41397.792222222219</v>
      </c>
    </row>
    <row r="58" spans="4:32">
      <c r="D58" s="13">
        <v>110168</v>
      </c>
      <c r="E58" s="14">
        <v>41397</v>
      </c>
      <c r="F58" s="13">
        <v>10023489</v>
      </c>
      <c r="G58" s="13" t="s">
        <v>177</v>
      </c>
      <c r="H58" s="13" t="s">
        <v>178</v>
      </c>
      <c r="I58" s="13" t="s">
        <v>179</v>
      </c>
      <c r="J58" s="13" t="s">
        <v>91</v>
      </c>
      <c r="K58" s="13" t="s">
        <v>53</v>
      </c>
      <c r="L58" s="13" t="s">
        <v>39</v>
      </c>
      <c r="M58" s="13">
        <v>5</v>
      </c>
      <c r="N58" s="14">
        <v>41639</v>
      </c>
      <c r="O58" s="13">
        <v>3840000</v>
      </c>
      <c r="P58" s="13">
        <v>0</v>
      </c>
      <c r="Q58" s="13" t="s">
        <v>3</v>
      </c>
      <c r="R58" s="13"/>
      <c r="S58" s="13" t="s">
        <v>43</v>
      </c>
      <c r="T58" s="13" t="s">
        <v>43</v>
      </c>
      <c r="U58" s="13" t="s">
        <v>180</v>
      </c>
      <c r="V58" s="13"/>
      <c r="W58" s="13"/>
      <c r="X58" s="13"/>
      <c r="Y58" s="13"/>
      <c r="Z58" s="13" t="s">
        <v>181</v>
      </c>
      <c r="AA58" s="13"/>
      <c r="AB58" s="13"/>
      <c r="AC58" s="13"/>
      <c r="AD58" s="13"/>
      <c r="AE58" s="13"/>
      <c r="AF58" s="15">
        <v>41397.792222222219</v>
      </c>
    </row>
    <row r="59" spans="4:32">
      <c r="D59" s="13">
        <v>110167</v>
      </c>
      <c r="E59" s="14">
        <v>41397</v>
      </c>
      <c r="F59" s="13">
        <v>10023380</v>
      </c>
      <c r="G59" s="13" t="s">
        <v>182</v>
      </c>
      <c r="H59" s="13"/>
      <c r="I59" s="13" t="s">
        <v>183</v>
      </c>
      <c r="J59" s="13" t="s">
        <v>91</v>
      </c>
      <c r="K59" s="13" t="s">
        <v>53</v>
      </c>
      <c r="L59" s="13" t="s">
        <v>92</v>
      </c>
      <c r="M59" s="13">
        <v>3.7473999999999998</v>
      </c>
      <c r="N59" s="14">
        <v>41743</v>
      </c>
      <c r="O59" s="13">
        <v>85000000</v>
      </c>
      <c r="P59" s="13">
        <v>0</v>
      </c>
      <c r="Q59" s="13" t="s">
        <v>3</v>
      </c>
      <c r="R59" s="13" t="s">
        <v>43</v>
      </c>
      <c r="S59" s="13" t="s">
        <v>174</v>
      </c>
      <c r="T59" s="13" t="s">
        <v>43</v>
      </c>
      <c r="U59" s="13" t="s">
        <v>43</v>
      </c>
      <c r="V59" s="13" t="s">
        <v>43</v>
      </c>
      <c r="W59" s="13" t="s">
        <v>174</v>
      </c>
      <c r="X59" s="13" t="s">
        <v>174</v>
      </c>
      <c r="Y59" s="13" t="s">
        <v>43</v>
      </c>
      <c r="Z59" s="13" t="s">
        <v>43</v>
      </c>
      <c r="AA59" s="13"/>
      <c r="AB59" s="13"/>
      <c r="AC59" s="13"/>
      <c r="AD59" s="13"/>
      <c r="AE59" s="13"/>
      <c r="AF59" s="15">
        <v>41397.792222222219</v>
      </c>
    </row>
    <row r="60" spans="4:32">
      <c r="D60" s="13">
        <v>110166</v>
      </c>
      <c r="E60" s="14">
        <v>41397</v>
      </c>
      <c r="F60" s="13">
        <v>10023379</v>
      </c>
      <c r="G60" s="13" t="s">
        <v>184</v>
      </c>
      <c r="H60" s="13"/>
      <c r="I60" s="13" t="s">
        <v>185</v>
      </c>
      <c r="J60" s="13" t="s">
        <v>91</v>
      </c>
      <c r="K60" s="13" t="s">
        <v>53</v>
      </c>
      <c r="L60" s="13" t="s">
        <v>39</v>
      </c>
      <c r="M60" s="13">
        <v>3.7473999999999998</v>
      </c>
      <c r="N60" s="14">
        <v>41743</v>
      </c>
      <c r="O60" s="13">
        <v>85000000</v>
      </c>
      <c r="P60" s="13">
        <v>0</v>
      </c>
      <c r="Q60" s="13" t="s">
        <v>3</v>
      </c>
      <c r="R60" s="13" t="s">
        <v>43</v>
      </c>
      <c r="S60" s="13" t="s">
        <v>174</v>
      </c>
      <c r="T60" s="13" t="s">
        <v>43</v>
      </c>
      <c r="U60" s="13" t="s">
        <v>43</v>
      </c>
      <c r="V60" s="13" t="s">
        <v>43</v>
      </c>
      <c r="W60" s="13" t="s">
        <v>174</v>
      </c>
      <c r="X60" s="13" t="s">
        <v>174</v>
      </c>
      <c r="Y60" s="13" t="s">
        <v>43</v>
      </c>
      <c r="Z60" s="13" t="s">
        <v>43</v>
      </c>
      <c r="AA60" s="13"/>
      <c r="AB60" s="13"/>
      <c r="AC60" s="13"/>
      <c r="AD60" s="13"/>
      <c r="AE60" s="13"/>
      <c r="AF60" s="15">
        <v>41397.792222222219</v>
      </c>
    </row>
    <row r="61" spans="4:32">
      <c r="D61" s="13">
        <v>110165</v>
      </c>
      <c r="E61" s="14">
        <v>41397</v>
      </c>
      <c r="F61" s="13">
        <v>10022722</v>
      </c>
      <c r="G61" s="13" t="s">
        <v>186</v>
      </c>
      <c r="H61" s="13"/>
      <c r="I61" s="13" t="s">
        <v>187</v>
      </c>
      <c r="J61" s="13" t="s">
        <v>91</v>
      </c>
      <c r="K61" s="13" t="s">
        <v>53</v>
      </c>
      <c r="L61" s="13" t="s">
        <v>92</v>
      </c>
      <c r="M61" s="13">
        <v>3.7458</v>
      </c>
      <c r="N61" s="14">
        <v>41565</v>
      </c>
      <c r="O61" s="13">
        <v>48600000</v>
      </c>
      <c r="P61" s="13">
        <v>0</v>
      </c>
      <c r="Q61" s="13" t="s">
        <v>3</v>
      </c>
      <c r="R61" s="13" t="s">
        <v>43</v>
      </c>
      <c r="S61" s="13" t="s">
        <v>174</v>
      </c>
      <c r="T61" s="13" t="s">
        <v>43</v>
      </c>
      <c r="U61" s="13" t="s">
        <v>43</v>
      </c>
      <c r="V61" s="13" t="s">
        <v>43</v>
      </c>
      <c r="W61" s="13" t="s">
        <v>174</v>
      </c>
      <c r="X61" s="13" t="s">
        <v>43</v>
      </c>
      <c r="Y61" s="13" t="s">
        <v>43</v>
      </c>
      <c r="Z61" s="13" t="s">
        <v>43</v>
      </c>
      <c r="AA61" s="13"/>
      <c r="AB61" s="13"/>
      <c r="AC61" s="13"/>
      <c r="AD61" s="13"/>
      <c r="AE61" s="13"/>
      <c r="AF61" s="15">
        <v>41397.792222222219</v>
      </c>
    </row>
    <row r="62" spans="4:32">
      <c r="D62" s="13">
        <v>110164</v>
      </c>
      <c r="E62" s="14">
        <v>41397</v>
      </c>
      <c r="F62" s="13">
        <v>10022719</v>
      </c>
      <c r="G62" s="13" t="s">
        <v>188</v>
      </c>
      <c r="H62" s="13"/>
      <c r="I62" s="13" t="s">
        <v>189</v>
      </c>
      <c r="J62" s="13" t="s">
        <v>91</v>
      </c>
      <c r="K62" s="13" t="s">
        <v>53</v>
      </c>
      <c r="L62" s="13" t="s">
        <v>39</v>
      </c>
      <c r="M62" s="13">
        <v>3.7458</v>
      </c>
      <c r="N62" s="14">
        <v>41565</v>
      </c>
      <c r="O62" s="13">
        <v>113300000</v>
      </c>
      <c r="P62" s="13">
        <v>0</v>
      </c>
      <c r="Q62" s="13" t="s">
        <v>3</v>
      </c>
      <c r="R62" s="13" t="s">
        <v>43</v>
      </c>
      <c r="S62" s="13" t="s">
        <v>174</v>
      </c>
      <c r="T62" s="13" t="s">
        <v>43</v>
      </c>
      <c r="U62" s="13" t="s">
        <v>43</v>
      </c>
      <c r="V62" s="13" t="s">
        <v>43</v>
      </c>
      <c r="W62" s="13" t="s">
        <v>174</v>
      </c>
      <c r="X62" s="13" t="s">
        <v>43</v>
      </c>
      <c r="Y62" s="13" t="s">
        <v>43</v>
      </c>
      <c r="Z62" s="13" t="s">
        <v>43</v>
      </c>
      <c r="AA62" s="13"/>
      <c r="AB62" s="13"/>
      <c r="AC62" s="13"/>
      <c r="AD62" s="13"/>
      <c r="AE62" s="13"/>
      <c r="AF62" s="15">
        <v>41397.792222222219</v>
      </c>
    </row>
    <row r="63" spans="4:32">
      <c r="D63" s="13">
        <v>110163</v>
      </c>
      <c r="E63" s="14">
        <v>41397</v>
      </c>
      <c r="F63" s="13">
        <v>10022695</v>
      </c>
      <c r="G63" s="13" t="s">
        <v>190</v>
      </c>
      <c r="H63" s="13"/>
      <c r="I63" s="13" t="s">
        <v>191</v>
      </c>
      <c r="J63" s="13" t="s">
        <v>91</v>
      </c>
      <c r="K63" s="13" t="s">
        <v>53</v>
      </c>
      <c r="L63" s="13" t="s">
        <v>92</v>
      </c>
      <c r="M63" s="13">
        <v>3.7444999999999999</v>
      </c>
      <c r="N63" s="14">
        <v>41562</v>
      </c>
      <c r="O63" s="13">
        <v>66200000</v>
      </c>
      <c r="P63" s="13">
        <v>0</v>
      </c>
      <c r="Q63" s="13" t="s">
        <v>3</v>
      </c>
      <c r="R63" s="13" t="s">
        <v>43</v>
      </c>
      <c r="S63" s="13" t="s">
        <v>174</v>
      </c>
      <c r="T63" s="13" t="s">
        <v>43</v>
      </c>
      <c r="U63" s="13" t="s">
        <v>43</v>
      </c>
      <c r="V63" s="13" t="s">
        <v>43</v>
      </c>
      <c r="W63" s="13" t="s">
        <v>174</v>
      </c>
      <c r="X63" s="13" t="s">
        <v>43</v>
      </c>
      <c r="Y63" s="13" t="s">
        <v>43</v>
      </c>
      <c r="Z63" s="13" t="s">
        <v>43</v>
      </c>
      <c r="AA63" s="13"/>
      <c r="AB63" s="13"/>
      <c r="AC63" s="13"/>
      <c r="AD63" s="13"/>
      <c r="AE63" s="13"/>
      <c r="AF63" s="15">
        <v>41397.792222222219</v>
      </c>
    </row>
    <row r="64" spans="4:32">
      <c r="D64" s="13">
        <v>110162</v>
      </c>
      <c r="E64" s="14">
        <v>41397</v>
      </c>
      <c r="F64" s="13">
        <v>10022689</v>
      </c>
      <c r="G64" s="13" t="s">
        <v>192</v>
      </c>
      <c r="H64" s="13"/>
      <c r="I64" s="13" t="s">
        <v>193</v>
      </c>
      <c r="J64" s="13" t="s">
        <v>91</v>
      </c>
      <c r="K64" s="13" t="s">
        <v>53</v>
      </c>
      <c r="L64" s="13" t="s">
        <v>39</v>
      </c>
      <c r="M64" s="13">
        <v>3.7444999999999999</v>
      </c>
      <c r="N64" s="14">
        <v>41562</v>
      </c>
      <c r="O64" s="13">
        <v>154500000</v>
      </c>
      <c r="P64" s="13">
        <v>0</v>
      </c>
      <c r="Q64" s="13" t="s">
        <v>3</v>
      </c>
      <c r="R64" s="13" t="s">
        <v>43</v>
      </c>
      <c r="S64" s="13" t="s">
        <v>174</v>
      </c>
      <c r="T64" s="13" t="s">
        <v>43</v>
      </c>
      <c r="U64" s="13" t="s">
        <v>43</v>
      </c>
      <c r="V64" s="13" t="s">
        <v>43</v>
      </c>
      <c r="W64" s="13" t="s">
        <v>174</v>
      </c>
      <c r="X64" s="13" t="s">
        <v>43</v>
      </c>
      <c r="Y64" s="13" t="s">
        <v>43</v>
      </c>
      <c r="Z64" s="13" t="s">
        <v>43</v>
      </c>
      <c r="AA64" s="13"/>
      <c r="AB64" s="13"/>
      <c r="AC64" s="13"/>
      <c r="AD64" s="13"/>
      <c r="AE64" s="13"/>
      <c r="AF64" s="15">
        <v>41397.792222222219</v>
      </c>
    </row>
    <row r="65" spans="4:32">
      <c r="D65" s="13">
        <v>110161</v>
      </c>
      <c r="E65" s="14">
        <v>41397</v>
      </c>
      <c r="F65" s="13">
        <v>10021380</v>
      </c>
      <c r="G65" s="13" t="s">
        <v>194</v>
      </c>
      <c r="H65" s="13" t="s">
        <v>163</v>
      </c>
      <c r="I65" s="13" t="s">
        <v>195</v>
      </c>
      <c r="J65" s="13" t="s">
        <v>39</v>
      </c>
      <c r="K65" s="13" t="s">
        <v>40</v>
      </c>
      <c r="L65" s="13" t="s">
        <v>41</v>
      </c>
      <c r="M65" s="13">
        <v>9.33</v>
      </c>
      <c r="N65" s="14">
        <v>42492</v>
      </c>
      <c r="O65" s="13">
        <v>1</v>
      </c>
      <c r="P65" s="13">
        <v>0</v>
      </c>
      <c r="Q65" s="13" t="s">
        <v>42</v>
      </c>
      <c r="R65" s="13" t="s">
        <v>43</v>
      </c>
      <c r="S65" s="13" t="s">
        <v>43</v>
      </c>
      <c r="T65" s="13"/>
      <c r="U65" s="13"/>
      <c r="V65" s="13"/>
      <c r="W65" s="13"/>
      <c r="X65" s="13"/>
      <c r="Y65" s="13"/>
      <c r="Z65" s="13" t="s">
        <v>165</v>
      </c>
      <c r="AA65" s="13"/>
      <c r="AB65" s="13"/>
      <c r="AC65" s="13"/>
      <c r="AD65" s="13"/>
      <c r="AE65" s="13"/>
      <c r="AF65" s="15">
        <v>41397.792222222219</v>
      </c>
    </row>
    <row r="66" spans="4:32">
      <c r="D66" s="13">
        <v>110160</v>
      </c>
      <c r="E66" s="14">
        <v>41397</v>
      </c>
      <c r="F66" s="13">
        <v>10021379</v>
      </c>
      <c r="G66" s="13" t="s">
        <v>196</v>
      </c>
      <c r="H66" s="13" t="s">
        <v>163</v>
      </c>
      <c r="I66" s="13" t="s">
        <v>197</v>
      </c>
      <c r="J66" s="13" t="s">
        <v>39</v>
      </c>
      <c r="K66" s="13" t="s">
        <v>40</v>
      </c>
      <c r="L66" s="13" t="s">
        <v>41</v>
      </c>
      <c r="M66" s="13">
        <v>9.33</v>
      </c>
      <c r="N66" s="14">
        <v>42492</v>
      </c>
      <c r="O66" s="13">
        <v>1</v>
      </c>
      <c r="P66" s="13">
        <v>0</v>
      </c>
      <c r="Q66" s="13" t="s">
        <v>42</v>
      </c>
      <c r="R66" s="13" t="s">
        <v>43</v>
      </c>
      <c r="S66" s="13" t="s">
        <v>43</v>
      </c>
      <c r="T66" s="13"/>
      <c r="U66" s="13"/>
      <c r="V66" s="13"/>
      <c r="W66" s="13"/>
      <c r="X66" s="13"/>
      <c r="Y66" s="13"/>
      <c r="Z66" s="13" t="s">
        <v>165</v>
      </c>
      <c r="AA66" s="13"/>
      <c r="AB66" s="13"/>
      <c r="AC66" s="13"/>
      <c r="AD66" s="13"/>
      <c r="AE66" s="13"/>
      <c r="AF66" s="15">
        <v>41397.792222222219</v>
      </c>
    </row>
    <row r="67" spans="4:32">
      <c r="D67" s="13">
        <v>110159</v>
      </c>
      <c r="E67" s="14">
        <v>41397</v>
      </c>
      <c r="F67" s="13">
        <v>10021378</v>
      </c>
      <c r="G67" s="13" t="s">
        <v>198</v>
      </c>
      <c r="H67" s="13" t="s">
        <v>163</v>
      </c>
      <c r="I67" s="13" t="s">
        <v>199</v>
      </c>
      <c r="J67" s="13" t="s">
        <v>39</v>
      </c>
      <c r="K67" s="13" t="s">
        <v>40</v>
      </c>
      <c r="L67" s="13" t="s">
        <v>41</v>
      </c>
      <c r="M67" s="13">
        <v>9.33</v>
      </c>
      <c r="N67" s="14">
        <v>42492</v>
      </c>
      <c r="O67" s="13">
        <v>1</v>
      </c>
      <c r="P67" s="13">
        <v>0</v>
      </c>
      <c r="Q67" s="13" t="s">
        <v>42</v>
      </c>
      <c r="R67" s="13" t="s">
        <v>43</v>
      </c>
      <c r="S67" s="13" t="s">
        <v>43</v>
      </c>
      <c r="T67" s="13"/>
      <c r="U67" s="13"/>
      <c r="V67" s="13"/>
      <c r="W67" s="13"/>
      <c r="X67" s="13"/>
      <c r="Y67" s="13"/>
      <c r="Z67" s="13" t="s">
        <v>165</v>
      </c>
      <c r="AA67" s="13"/>
      <c r="AB67" s="13"/>
      <c r="AC67" s="13"/>
      <c r="AD67" s="13"/>
      <c r="AE67" s="13"/>
      <c r="AF67" s="15">
        <v>41397.792222222219</v>
      </c>
    </row>
    <row r="68" spans="4:32">
      <c r="D68" s="13">
        <v>110158</v>
      </c>
      <c r="E68" s="14">
        <v>41397</v>
      </c>
      <c r="F68" s="13">
        <v>10021377</v>
      </c>
      <c r="G68" s="13" t="s">
        <v>200</v>
      </c>
      <c r="H68" s="13" t="s">
        <v>163</v>
      </c>
      <c r="I68" s="13" t="s">
        <v>201</v>
      </c>
      <c r="J68" s="13" t="s">
        <v>39</v>
      </c>
      <c r="K68" s="13" t="s">
        <v>40</v>
      </c>
      <c r="L68" s="13" t="s">
        <v>41</v>
      </c>
      <c r="M68" s="13">
        <v>9.33</v>
      </c>
      <c r="N68" s="14">
        <v>42492</v>
      </c>
      <c r="O68" s="13">
        <v>1</v>
      </c>
      <c r="P68" s="13">
        <v>0</v>
      </c>
      <c r="Q68" s="13" t="s">
        <v>42</v>
      </c>
      <c r="R68" s="13" t="s">
        <v>43</v>
      </c>
      <c r="S68" s="13" t="s">
        <v>43</v>
      </c>
      <c r="T68" s="13"/>
      <c r="U68" s="13"/>
      <c r="V68" s="13"/>
      <c r="W68" s="13"/>
      <c r="X68" s="13"/>
      <c r="Y68" s="13"/>
      <c r="Z68" s="13" t="s">
        <v>165</v>
      </c>
      <c r="AA68" s="13"/>
      <c r="AB68" s="13"/>
      <c r="AC68" s="13"/>
      <c r="AD68" s="13"/>
      <c r="AE68" s="13"/>
      <c r="AF68" s="15">
        <v>41397.792222222219</v>
      </c>
    </row>
    <row r="69" spans="4:32">
      <c r="D69" s="13">
        <v>110157</v>
      </c>
      <c r="E69" s="14">
        <v>41397</v>
      </c>
      <c r="F69" s="13">
        <v>10020387</v>
      </c>
      <c r="G69" s="13" t="s">
        <v>202</v>
      </c>
      <c r="H69" s="13"/>
      <c r="I69" s="13"/>
      <c r="J69" s="13"/>
      <c r="K69" s="13"/>
      <c r="L69" s="13"/>
      <c r="M69" s="13">
        <v>0</v>
      </c>
      <c r="N69" s="13"/>
      <c r="O69" s="13">
        <v>0</v>
      </c>
      <c r="P69" s="13">
        <v>0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5">
        <v>41397.792222222219</v>
      </c>
    </row>
    <row r="70" spans="4:32">
      <c r="D70" s="13">
        <v>110156</v>
      </c>
      <c r="E70" s="14">
        <v>41397</v>
      </c>
      <c r="F70" s="13">
        <v>10011288</v>
      </c>
      <c r="G70" s="13" t="s">
        <v>203</v>
      </c>
      <c r="H70" s="13"/>
      <c r="I70" s="13"/>
      <c r="J70" s="13"/>
      <c r="K70" s="13"/>
      <c r="L70" s="13"/>
      <c r="M70" s="13">
        <v>0</v>
      </c>
      <c r="N70" s="13"/>
      <c r="O70" s="13">
        <v>0</v>
      </c>
      <c r="P70" s="13">
        <v>0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5">
        <v>41397.792222222219</v>
      </c>
    </row>
    <row r="71" spans="4:32">
      <c r="D71" s="13">
        <v>110155</v>
      </c>
      <c r="E71" s="14">
        <v>41397</v>
      </c>
      <c r="F71" s="13">
        <v>10008174</v>
      </c>
      <c r="G71" s="13" t="s">
        <v>204</v>
      </c>
      <c r="H71" s="13"/>
      <c r="I71" s="13"/>
      <c r="J71" s="13"/>
      <c r="K71" s="13"/>
      <c r="L71" s="13"/>
      <c r="M71" s="13">
        <v>0</v>
      </c>
      <c r="N71" s="13"/>
      <c r="O71" s="13">
        <v>0</v>
      </c>
      <c r="P71" s="13">
        <v>0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5">
        <v>41397.792222222219</v>
      </c>
    </row>
    <row r="72" spans="4:32">
      <c r="D72" s="13">
        <v>110154</v>
      </c>
      <c r="E72" s="14">
        <v>41397</v>
      </c>
      <c r="F72" s="13">
        <v>10007513</v>
      </c>
      <c r="G72" s="13" t="s">
        <v>205</v>
      </c>
      <c r="H72" s="13"/>
      <c r="I72" s="13"/>
      <c r="J72" s="13"/>
      <c r="K72" s="13"/>
      <c r="L72" s="13"/>
      <c r="M72" s="13">
        <v>0</v>
      </c>
      <c r="N72" s="13"/>
      <c r="O72" s="13">
        <v>0</v>
      </c>
      <c r="P72" s="13">
        <v>0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5">
        <v>41397.792222222219</v>
      </c>
    </row>
  </sheetData>
  <dataValidations count="2">
    <dataValidation allowBlank="1" showInputMessage="1" showErrorMessage="1" promptTitle="Enter a valic connection string" prompt=" " sqref="C3"/>
    <dataValidation allowBlank="1" showInputMessage="1" showErrorMessage="1" promptTitle="Double click on this cell" prompt="to sort the table by this column" sqref="M7:N7 M24:N24"/>
  </dataValidations>
  <pageMargins left="0.7" right="0.7" top="0.75" bottom="0.75" header="0.3" footer="0.3"/>
  <pageSetup orientation="portrait" r:id="rId1"/>
  <legacyDrawing r:id="rId2"/>
  <controls>
    <control shapeId="7170" r:id="rId3" name="cbHeadings"/>
    <control shapeId="7169" r:id="rId4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1:AG71"/>
  <sheetViews>
    <sheetView workbookViewId="0">
      <selection activeCell="C40" sqref="C40"/>
    </sheetView>
  </sheetViews>
  <sheetFormatPr defaultRowHeight="12.75"/>
  <cols>
    <col min="2" max="2" width="10" bestFit="1" customWidth="1"/>
    <col min="3" max="3" width="87" bestFit="1" customWidth="1"/>
    <col min="5" max="5" width="7" customWidth="1"/>
    <col min="6" max="6" width="6" customWidth="1"/>
    <col min="7" max="7" width="9" customWidth="1"/>
    <col min="8" max="8" width="29.140625" bestFit="1" customWidth="1"/>
    <col min="9" max="9" width="9.28515625" bestFit="1" customWidth="1"/>
    <col min="10" max="10" width="23.140625" bestFit="1" customWidth="1"/>
    <col min="11" max="11" width="3.5703125" customWidth="1"/>
    <col min="12" max="12" width="8.85546875" customWidth="1"/>
    <col min="13" max="13" width="4.140625" customWidth="1"/>
    <col min="14" max="14" width="8" customWidth="1"/>
    <col min="15" max="15" width="6" customWidth="1"/>
    <col min="16" max="16" width="10" bestFit="1" customWidth="1"/>
    <col min="17" max="17" width="4" customWidth="1"/>
    <col min="18" max="18" width="4.28515625" customWidth="1"/>
    <col min="19" max="26" width="4.85546875" customWidth="1"/>
    <col min="27" max="27" width="5.140625" customWidth="1"/>
  </cols>
  <sheetData>
    <row r="1" spans="2:33" ht="13.5" thickBot="1"/>
    <row r="2" spans="2:33">
      <c r="B2" s="37" t="s">
        <v>230</v>
      </c>
      <c r="C2" s="35" t="s">
        <v>4</v>
      </c>
    </row>
    <row r="3" spans="2:33" ht="13.5" thickBot="1">
      <c r="B3" s="38" t="s">
        <v>231</v>
      </c>
      <c r="C3" s="36" t="s">
        <v>6</v>
      </c>
    </row>
    <row r="4" spans="2:33">
      <c r="B4" s="13" t="s">
        <v>232</v>
      </c>
      <c r="C4" t="b">
        <f>1=1</f>
        <v>1</v>
      </c>
    </row>
    <row r="7" spans="2:33">
      <c r="E7">
        <v>110218</v>
      </c>
      <c r="F7">
        <v>41397</v>
      </c>
      <c r="G7">
        <v>10024889</v>
      </c>
      <c r="H7" t="s">
        <v>36</v>
      </c>
      <c r="I7" t="s">
        <v>37</v>
      </c>
      <c r="J7" t="s">
        <v>38</v>
      </c>
      <c r="K7" t="s">
        <v>39</v>
      </c>
      <c r="L7" t="s">
        <v>40</v>
      </c>
      <c r="M7" t="s">
        <v>41</v>
      </c>
      <c r="N7">
        <v>40</v>
      </c>
      <c r="O7">
        <v>41656</v>
      </c>
      <c r="P7">
        <v>100</v>
      </c>
      <c r="Q7">
        <v>0</v>
      </c>
      <c r="R7" t="s">
        <v>42</v>
      </c>
      <c r="S7" t="s">
        <v>43</v>
      </c>
      <c r="T7" t="s">
        <v>43</v>
      </c>
      <c r="AA7" t="s">
        <v>44</v>
      </c>
      <c r="AE7" s="39"/>
      <c r="AF7" s="39"/>
      <c r="AG7" s="39">
        <v>41397.79222372685</v>
      </c>
    </row>
    <row r="8" spans="2:33">
      <c r="E8">
        <v>110217</v>
      </c>
      <c r="F8">
        <v>41397</v>
      </c>
      <c r="G8">
        <v>10024887</v>
      </c>
      <c r="H8" t="s">
        <v>45</v>
      </c>
      <c r="I8" t="s">
        <v>46</v>
      </c>
      <c r="J8" t="s">
        <v>47</v>
      </c>
      <c r="K8" t="s">
        <v>39</v>
      </c>
      <c r="L8" t="s">
        <v>40</v>
      </c>
      <c r="M8" t="s">
        <v>48</v>
      </c>
      <c r="N8">
        <v>91</v>
      </c>
      <c r="O8">
        <v>41453</v>
      </c>
      <c r="P8">
        <v>100</v>
      </c>
      <c r="Q8">
        <v>100</v>
      </c>
      <c r="S8" t="s">
        <v>43</v>
      </c>
      <c r="T8" t="s">
        <v>43</v>
      </c>
      <c r="AA8" t="s">
        <v>49</v>
      </c>
      <c r="AE8" s="39"/>
      <c r="AF8" s="39"/>
      <c r="AG8" s="39">
        <v>41397.79222372685</v>
      </c>
    </row>
    <row r="9" spans="2:33">
      <c r="E9">
        <v>110216</v>
      </c>
      <c r="F9">
        <v>41397</v>
      </c>
      <c r="G9">
        <v>10024857</v>
      </c>
      <c r="H9" t="s">
        <v>50</v>
      </c>
      <c r="I9" t="s">
        <v>51</v>
      </c>
      <c r="J9" t="s">
        <v>52</v>
      </c>
      <c r="K9" t="s">
        <v>39</v>
      </c>
      <c r="L9" t="s">
        <v>53</v>
      </c>
      <c r="M9" t="s">
        <v>48</v>
      </c>
      <c r="N9">
        <v>1575</v>
      </c>
      <c r="O9">
        <v>41453</v>
      </c>
      <c r="P9">
        <v>100</v>
      </c>
      <c r="Q9">
        <v>0</v>
      </c>
      <c r="S9" t="s">
        <v>43</v>
      </c>
      <c r="T9" t="s">
        <v>43</v>
      </c>
      <c r="AA9" t="s">
        <v>51</v>
      </c>
      <c r="AE9" s="39"/>
      <c r="AF9" s="39"/>
      <c r="AG9" s="39">
        <v>41397.79222372685</v>
      </c>
    </row>
    <row r="10" spans="2:33">
      <c r="E10">
        <v>110215</v>
      </c>
      <c r="F10">
        <v>41397</v>
      </c>
      <c r="G10">
        <v>10024856</v>
      </c>
      <c r="H10" t="s">
        <v>54</v>
      </c>
      <c r="I10" t="s">
        <v>55</v>
      </c>
      <c r="J10" t="s">
        <v>56</v>
      </c>
      <c r="K10" t="s">
        <v>39</v>
      </c>
      <c r="L10" t="s">
        <v>40</v>
      </c>
      <c r="M10" t="s">
        <v>41</v>
      </c>
      <c r="N10">
        <v>50</v>
      </c>
      <c r="O10">
        <v>41412</v>
      </c>
      <c r="P10">
        <v>100</v>
      </c>
      <c r="Q10">
        <v>100</v>
      </c>
      <c r="S10" t="s">
        <v>43</v>
      </c>
      <c r="T10" t="s">
        <v>43</v>
      </c>
      <c r="AA10" t="s">
        <v>57</v>
      </c>
      <c r="AE10" s="39"/>
      <c r="AF10" s="39"/>
      <c r="AG10" s="39">
        <v>41397.79222372685</v>
      </c>
    </row>
    <row r="11" spans="2:33">
      <c r="E11">
        <v>110214</v>
      </c>
      <c r="F11">
        <v>41397</v>
      </c>
      <c r="G11">
        <v>10024855</v>
      </c>
      <c r="H11" t="s">
        <v>58</v>
      </c>
      <c r="I11" t="s">
        <v>55</v>
      </c>
      <c r="J11" t="s">
        <v>59</v>
      </c>
      <c r="K11" t="s">
        <v>39</v>
      </c>
      <c r="L11" t="s">
        <v>40</v>
      </c>
      <c r="M11" t="s">
        <v>48</v>
      </c>
      <c r="N11">
        <v>43</v>
      </c>
      <c r="O11">
        <v>41412</v>
      </c>
      <c r="P11">
        <v>100</v>
      </c>
      <c r="Q11">
        <v>100</v>
      </c>
      <c r="S11" t="s">
        <v>43</v>
      </c>
      <c r="T11" t="s">
        <v>43</v>
      </c>
      <c r="AA11" t="s">
        <v>57</v>
      </c>
      <c r="AE11" s="39"/>
      <c r="AF11" s="39"/>
      <c r="AG11" s="39">
        <v>41397.79222372685</v>
      </c>
    </row>
    <row r="12" spans="2:33">
      <c r="E12">
        <v>110213</v>
      </c>
      <c r="F12">
        <v>41397</v>
      </c>
      <c r="G12">
        <v>10024854</v>
      </c>
      <c r="H12" t="s">
        <v>60</v>
      </c>
      <c r="I12" t="s">
        <v>61</v>
      </c>
      <c r="J12" t="s">
        <v>62</v>
      </c>
      <c r="K12" t="s">
        <v>39</v>
      </c>
      <c r="L12" t="s">
        <v>40</v>
      </c>
      <c r="M12" t="s">
        <v>41</v>
      </c>
      <c r="N12">
        <v>6</v>
      </c>
      <c r="O12">
        <v>41447</v>
      </c>
      <c r="P12">
        <v>100</v>
      </c>
      <c r="Q12">
        <v>100</v>
      </c>
      <c r="S12" t="s">
        <v>43</v>
      </c>
      <c r="T12" t="s">
        <v>43</v>
      </c>
      <c r="AA12" t="s">
        <v>63</v>
      </c>
      <c r="AE12" s="39"/>
      <c r="AF12" s="39"/>
      <c r="AG12" s="39">
        <v>41397.79222372685</v>
      </c>
    </row>
    <row r="13" spans="2:33">
      <c r="E13">
        <v>110212</v>
      </c>
      <c r="F13">
        <v>41397</v>
      </c>
      <c r="G13">
        <v>10024844</v>
      </c>
      <c r="H13" t="s">
        <v>64</v>
      </c>
      <c r="I13" t="s">
        <v>65</v>
      </c>
      <c r="J13" t="s">
        <v>66</v>
      </c>
      <c r="K13" t="s">
        <v>39</v>
      </c>
      <c r="L13" t="s">
        <v>40</v>
      </c>
      <c r="M13" t="s">
        <v>48</v>
      </c>
      <c r="N13">
        <v>10</v>
      </c>
      <c r="O13">
        <v>41412</v>
      </c>
      <c r="P13">
        <v>100</v>
      </c>
      <c r="Q13">
        <v>100</v>
      </c>
      <c r="S13" t="s">
        <v>43</v>
      </c>
      <c r="T13" t="s">
        <v>43</v>
      </c>
      <c r="AA13" t="s">
        <v>67</v>
      </c>
      <c r="AE13" s="39"/>
      <c r="AF13" s="39"/>
      <c r="AG13" s="39">
        <v>41397.79222372685</v>
      </c>
    </row>
    <row r="14" spans="2:33">
      <c r="E14">
        <v>110211</v>
      </c>
      <c r="F14">
        <v>41397</v>
      </c>
      <c r="G14">
        <v>10024842</v>
      </c>
      <c r="H14" t="s">
        <v>68</v>
      </c>
      <c r="I14" t="s">
        <v>46</v>
      </c>
      <c r="J14" t="s">
        <v>69</v>
      </c>
      <c r="K14" t="s">
        <v>39</v>
      </c>
      <c r="L14" t="s">
        <v>40</v>
      </c>
      <c r="M14" t="s">
        <v>48</v>
      </c>
      <c r="N14">
        <v>89</v>
      </c>
      <c r="O14">
        <v>41453</v>
      </c>
      <c r="P14">
        <v>100</v>
      </c>
      <c r="Q14">
        <v>100</v>
      </c>
      <c r="S14" t="s">
        <v>43</v>
      </c>
      <c r="T14" t="s">
        <v>43</v>
      </c>
      <c r="AA14" t="s">
        <v>49</v>
      </c>
      <c r="AE14" s="39"/>
      <c r="AF14" s="39"/>
      <c r="AG14" s="39">
        <v>41397.79222372685</v>
      </c>
    </row>
    <row r="15" spans="2:33">
      <c r="E15">
        <v>110210</v>
      </c>
      <c r="F15">
        <v>41397</v>
      </c>
      <c r="G15">
        <v>10024841</v>
      </c>
      <c r="H15" t="s">
        <v>70</v>
      </c>
      <c r="I15" t="s">
        <v>46</v>
      </c>
      <c r="J15" t="s">
        <v>71</v>
      </c>
      <c r="K15" t="s">
        <v>39</v>
      </c>
      <c r="L15" t="s">
        <v>40</v>
      </c>
      <c r="M15" t="s">
        <v>48</v>
      </c>
      <c r="N15">
        <v>82</v>
      </c>
      <c r="O15">
        <v>41453</v>
      </c>
      <c r="P15">
        <v>100</v>
      </c>
      <c r="Q15">
        <v>100</v>
      </c>
      <c r="S15" t="s">
        <v>43</v>
      </c>
      <c r="T15" t="s">
        <v>43</v>
      </c>
      <c r="AA15" t="s">
        <v>49</v>
      </c>
      <c r="AE15" s="39"/>
      <c r="AF15" s="39"/>
      <c r="AG15" s="39">
        <v>41397.79222372685</v>
      </c>
    </row>
    <row r="16" spans="2:33">
      <c r="E16">
        <v>110209</v>
      </c>
      <c r="F16">
        <v>41397</v>
      </c>
      <c r="G16">
        <v>10024838</v>
      </c>
      <c r="H16" t="s">
        <v>72</v>
      </c>
      <c r="I16" t="s">
        <v>46</v>
      </c>
      <c r="J16" t="s">
        <v>73</v>
      </c>
      <c r="K16" t="s">
        <v>39</v>
      </c>
      <c r="L16" t="s">
        <v>40</v>
      </c>
      <c r="M16" t="s">
        <v>48</v>
      </c>
      <c r="N16">
        <v>84</v>
      </c>
      <c r="O16">
        <v>41447</v>
      </c>
      <c r="P16">
        <v>100</v>
      </c>
      <c r="Q16">
        <v>100</v>
      </c>
      <c r="S16" t="s">
        <v>43</v>
      </c>
      <c r="T16" t="s">
        <v>43</v>
      </c>
      <c r="AA16" t="s">
        <v>49</v>
      </c>
      <c r="AE16" s="39"/>
      <c r="AF16" s="39"/>
      <c r="AG16" s="39">
        <v>41397.79222372685</v>
      </c>
    </row>
    <row r="17" spans="5:33">
      <c r="E17">
        <v>110208</v>
      </c>
      <c r="F17">
        <v>41397</v>
      </c>
      <c r="G17">
        <v>10024837</v>
      </c>
      <c r="H17" t="s">
        <v>74</v>
      </c>
      <c r="I17" t="s">
        <v>46</v>
      </c>
      <c r="J17" t="s">
        <v>75</v>
      </c>
      <c r="K17" t="s">
        <v>39</v>
      </c>
      <c r="L17" t="s">
        <v>40</v>
      </c>
      <c r="M17" t="s">
        <v>48</v>
      </c>
      <c r="N17">
        <v>91</v>
      </c>
      <c r="O17">
        <v>41447</v>
      </c>
      <c r="P17">
        <v>100</v>
      </c>
      <c r="Q17">
        <v>100</v>
      </c>
      <c r="S17" t="s">
        <v>43</v>
      </c>
      <c r="T17" t="s">
        <v>43</v>
      </c>
      <c r="AA17" t="s">
        <v>49</v>
      </c>
      <c r="AE17" s="39"/>
      <c r="AF17" s="39"/>
      <c r="AG17" s="39">
        <v>41397.79222372685</v>
      </c>
    </row>
    <row r="18" spans="5:33">
      <c r="E18">
        <v>110207</v>
      </c>
      <c r="F18">
        <v>41397</v>
      </c>
      <c r="G18">
        <v>10024833</v>
      </c>
      <c r="H18" t="s">
        <v>76</v>
      </c>
      <c r="I18" t="s">
        <v>46</v>
      </c>
      <c r="J18" t="s">
        <v>77</v>
      </c>
      <c r="K18" t="s">
        <v>39</v>
      </c>
      <c r="L18" t="s">
        <v>40</v>
      </c>
      <c r="M18" t="s">
        <v>48</v>
      </c>
      <c r="N18">
        <v>95</v>
      </c>
      <c r="O18">
        <v>41412</v>
      </c>
      <c r="P18">
        <v>100</v>
      </c>
      <c r="Q18">
        <v>100</v>
      </c>
      <c r="S18" t="s">
        <v>43</v>
      </c>
      <c r="T18" t="s">
        <v>43</v>
      </c>
      <c r="AA18" t="s">
        <v>49</v>
      </c>
      <c r="AE18" s="39"/>
      <c r="AF18" s="39"/>
      <c r="AG18" s="39">
        <v>41397.79222372685</v>
      </c>
    </row>
    <row r="19" spans="5:33">
      <c r="E19">
        <v>110206</v>
      </c>
      <c r="F19">
        <v>41397</v>
      </c>
      <c r="G19">
        <v>10024825</v>
      </c>
      <c r="H19" t="s">
        <v>78</v>
      </c>
      <c r="I19" t="s">
        <v>46</v>
      </c>
      <c r="J19" t="s">
        <v>79</v>
      </c>
      <c r="K19" t="s">
        <v>39</v>
      </c>
      <c r="L19" t="s">
        <v>40</v>
      </c>
      <c r="M19" t="s">
        <v>48</v>
      </c>
      <c r="N19">
        <v>90</v>
      </c>
      <c r="O19">
        <v>41412</v>
      </c>
      <c r="P19">
        <v>100</v>
      </c>
      <c r="Q19">
        <v>100</v>
      </c>
      <c r="S19" t="s">
        <v>43</v>
      </c>
      <c r="T19" t="s">
        <v>43</v>
      </c>
      <c r="AA19" t="s">
        <v>49</v>
      </c>
      <c r="AE19" s="39"/>
      <c r="AF19" s="39"/>
      <c r="AG19" s="39">
        <v>41397.79222372685</v>
      </c>
    </row>
    <row r="20" spans="5:33">
      <c r="E20">
        <v>110205</v>
      </c>
      <c r="F20">
        <v>41397</v>
      </c>
      <c r="G20">
        <v>10024781</v>
      </c>
      <c r="H20" t="s">
        <v>80</v>
      </c>
      <c r="I20" t="s">
        <v>61</v>
      </c>
      <c r="J20" t="s">
        <v>81</v>
      </c>
      <c r="K20" t="s">
        <v>39</v>
      </c>
      <c r="L20" t="s">
        <v>40</v>
      </c>
      <c r="M20" t="s">
        <v>41</v>
      </c>
      <c r="N20">
        <v>6</v>
      </c>
      <c r="O20">
        <v>41412</v>
      </c>
      <c r="P20">
        <v>100</v>
      </c>
      <c r="Q20">
        <v>100</v>
      </c>
      <c r="S20" t="s">
        <v>43</v>
      </c>
      <c r="T20" t="s">
        <v>43</v>
      </c>
      <c r="AA20" t="s">
        <v>63</v>
      </c>
      <c r="AE20" s="39"/>
      <c r="AF20" s="39"/>
      <c r="AG20" s="39">
        <v>41397.79222372685</v>
      </c>
    </row>
    <row r="21" spans="5:33">
      <c r="E21">
        <v>110204</v>
      </c>
      <c r="F21">
        <v>41397</v>
      </c>
      <c r="G21">
        <v>10024777</v>
      </c>
      <c r="H21" t="s">
        <v>82</v>
      </c>
      <c r="I21" t="s">
        <v>61</v>
      </c>
      <c r="J21" t="s">
        <v>83</v>
      </c>
      <c r="K21" t="s">
        <v>39</v>
      </c>
      <c r="L21" t="s">
        <v>40</v>
      </c>
      <c r="M21" t="s">
        <v>41</v>
      </c>
      <c r="N21">
        <v>5.5</v>
      </c>
      <c r="O21">
        <v>41412</v>
      </c>
      <c r="P21">
        <v>100</v>
      </c>
      <c r="Q21">
        <v>100</v>
      </c>
      <c r="S21" t="s">
        <v>43</v>
      </c>
      <c r="T21" t="s">
        <v>43</v>
      </c>
      <c r="AA21" t="s">
        <v>63</v>
      </c>
      <c r="AE21" s="39"/>
      <c r="AF21" s="39"/>
      <c r="AG21" s="39">
        <v>41397.79222372685</v>
      </c>
    </row>
    <row r="22" spans="5:33">
      <c r="E22">
        <v>110203</v>
      </c>
      <c r="F22">
        <v>41397</v>
      </c>
      <c r="G22">
        <v>10024757</v>
      </c>
      <c r="H22" t="s">
        <v>84</v>
      </c>
      <c r="I22" t="s">
        <v>85</v>
      </c>
      <c r="J22" t="s">
        <v>86</v>
      </c>
      <c r="K22" t="s">
        <v>39</v>
      </c>
      <c r="L22" t="s">
        <v>53</v>
      </c>
      <c r="M22" t="s">
        <v>48</v>
      </c>
      <c r="N22">
        <v>2550</v>
      </c>
      <c r="O22">
        <v>41446</v>
      </c>
      <c r="P22">
        <v>10</v>
      </c>
      <c r="Q22">
        <v>0</v>
      </c>
      <c r="S22" t="s">
        <v>87</v>
      </c>
      <c r="T22" t="s">
        <v>87</v>
      </c>
      <c r="AA22" t="s">
        <v>88</v>
      </c>
      <c r="AE22" s="39"/>
      <c r="AF22" s="39"/>
      <c r="AG22" s="39">
        <v>41397.79222372685</v>
      </c>
    </row>
    <row r="23" spans="5:33">
      <c r="E23">
        <v>110202</v>
      </c>
      <c r="F23">
        <v>41397</v>
      </c>
      <c r="G23">
        <v>10024756</v>
      </c>
      <c r="H23" t="s">
        <v>89</v>
      </c>
      <c r="J23" t="s">
        <v>90</v>
      </c>
      <c r="K23" t="s">
        <v>91</v>
      </c>
      <c r="L23" t="s">
        <v>53</v>
      </c>
      <c r="M23" t="s">
        <v>92</v>
      </c>
      <c r="N23">
        <v>1.19</v>
      </c>
      <c r="O23">
        <v>41445</v>
      </c>
      <c r="P23">
        <v>100000000</v>
      </c>
      <c r="Q23">
        <v>0</v>
      </c>
      <c r="R23" t="s">
        <v>3</v>
      </c>
      <c r="S23" t="s">
        <v>87</v>
      </c>
      <c r="T23" t="s">
        <v>93</v>
      </c>
      <c r="U23" t="s">
        <v>87</v>
      </c>
      <c r="V23" t="s">
        <v>87</v>
      </c>
      <c r="W23" t="s">
        <v>87</v>
      </c>
      <c r="X23" t="s">
        <v>93</v>
      </c>
      <c r="Y23" t="s">
        <v>87</v>
      </c>
      <c r="Z23" t="s">
        <v>87</v>
      </c>
      <c r="AA23" t="s">
        <v>87</v>
      </c>
      <c r="AE23" s="39"/>
      <c r="AF23" s="39"/>
      <c r="AG23" s="39">
        <v>41397.79222372685</v>
      </c>
    </row>
    <row r="24" spans="5:33">
      <c r="E24">
        <v>110201</v>
      </c>
      <c r="F24">
        <v>41397</v>
      </c>
      <c r="G24">
        <v>10024754</v>
      </c>
      <c r="H24" t="s">
        <v>94</v>
      </c>
      <c r="I24" t="s">
        <v>95</v>
      </c>
      <c r="J24" t="s">
        <v>96</v>
      </c>
      <c r="K24" t="s">
        <v>39</v>
      </c>
      <c r="L24" t="s">
        <v>40</v>
      </c>
      <c r="M24" t="s">
        <v>48</v>
      </c>
      <c r="N24">
        <v>18</v>
      </c>
      <c r="O24">
        <v>41412</v>
      </c>
      <c r="P24">
        <v>100</v>
      </c>
      <c r="Q24">
        <v>100</v>
      </c>
      <c r="S24" t="s">
        <v>43</v>
      </c>
      <c r="T24" t="s">
        <v>43</v>
      </c>
      <c r="AA24" t="s">
        <v>97</v>
      </c>
      <c r="AE24" s="39"/>
      <c r="AF24" s="39"/>
      <c r="AG24" s="39">
        <v>41397.79222372685</v>
      </c>
    </row>
    <row r="25" spans="5:33">
      <c r="E25">
        <v>110200</v>
      </c>
      <c r="F25">
        <v>41397</v>
      </c>
      <c r="G25">
        <v>10024747</v>
      </c>
      <c r="H25" t="s">
        <v>98</v>
      </c>
      <c r="I25" t="s">
        <v>61</v>
      </c>
      <c r="J25" t="s">
        <v>99</v>
      </c>
      <c r="K25" t="s">
        <v>39</v>
      </c>
      <c r="L25" t="s">
        <v>40</v>
      </c>
      <c r="M25" t="s">
        <v>41</v>
      </c>
      <c r="N25">
        <v>5.5</v>
      </c>
      <c r="O25">
        <v>41447</v>
      </c>
      <c r="P25">
        <v>100</v>
      </c>
      <c r="Q25">
        <v>100</v>
      </c>
      <c r="S25" t="s">
        <v>43</v>
      </c>
      <c r="T25" t="s">
        <v>43</v>
      </c>
      <c r="AA25" t="s">
        <v>63</v>
      </c>
      <c r="AE25" s="39"/>
      <c r="AF25" s="39"/>
      <c r="AG25" s="39">
        <v>41397.79222372685</v>
      </c>
    </row>
    <row r="26" spans="5:33">
      <c r="E26">
        <v>110199</v>
      </c>
      <c r="F26">
        <v>41397</v>
      </c>
      <c r="G26">
        <v>10024745</v>
      </c>
      <c r="H26" t="s">
        <v>100</v>
      </c>
      <c r="I26" t="s">
        <v>101</v>
      </c>
      <c r="J26" t="s">
        <v>102</v>
      </c>
      <c r="K26" t="s">
        <v>39</v>
      </c>
      <c r="L26" t="s">
        <v>40</v>
      </c>
      <c r="M26" t="s">
        <v>41</v>
      </c>
      <c r="N26">
        <v>550</v>
      </c>
      <c r="O26">
        <v>41656</v>
      </c>
      <c r="P26">
        <v>100</v>
      </c>
      <c r="Q26">
        <v>0</v>
      </c>
      <c r="R26" t="s">
        <v>42</v>
      </c>
      <c r="S26" t="s">
        <v>43</v>
      </c>
      <c r="T26" t="s">
        <v>43</v>
      </c>
      <c r="AA26" t="s">
        <v>103</v>
      </c>
      <c r="AE26" s="39"/>
      <c r="AF26" s="39"/>
      <c r="AG26" s="39">
        <v>41397.79222372685</v>
      </c>
    </row>
    <row r="27" spans="5:33">
      <c r="E27">
        <v>110198</v>
      </c>
      <c r="F27">
        <v>41397</v>
      </c>
      <c r="G27">
        <v>10024742</v>
      </c>
      <c r="H27" t="s">
        <v>104</v>
      </c>
      <c r="I27" t="s">
        <v>105</v>
      </c>
      <c r="J27" t="s">
        <v>106</v>
      </c>
      <c r="K27" t="s">
        <v>39</v>
      </c>
      <c r="L27" t="s">
        <v>40</v>
      </c>
      <c r="M27" t="s">
        <v>41</v>
      </c>
      <c r="N27">
        <v>90</v>
      </c>
      <c r="O27">
        <v>41657</v>
      </c>
      <c r="P27">
        <v>100</v>
      </c>
      <c r="Q27">
        <v>100</v>
      </c>
      <c r="S27" t="s">
        <v>43</v>
      </c>
      <c r="T27" t="s">
        <v>43</v>
      </c>
      <c r="AA27" t="s">
        <v>107</v>
      </c>
      <c r="AE27" s="39"/>
      <c r="AF27" s="39"/>
      <c r="AG27" s="39">
        <v>41397.79222372685</v>
      </c>
    </row>
    <row r="28" spans="5:33">
      <c r="E28">
        <v>110197</v>
      </c>
      <c r="F28">
        <v>41397</v>
      </c>
      <c r="G28">
        <v>10024740</v>
      </c>
      <c r="H28" t="s">
        <v>108</v>
      </c>
      <c r="I28" t="s">
        <v>109</v>
      </c>
      <c r="J28" t="s">
        <v>110</v>
      </c>
      <c r="K28" t="s">
        <v>39</v>
      </c>
      <c r="L28" t="s">
        <v>40</v>
      </c>
      <c r="M28" t="s">
        <v>48</v>
      </c>
      <c r="N28">
        <v>13</v>
      </c>
      <c r="O28">
        <v>41657</v>
      </c>
      <c r="P28">
        <v>100</v>
      </c>
      <c r="Q28">
        <v>100</v>
      </c>
      <c r="S28" t="s">
        <v>43</v>
      </c>
      <c r="T28" t="s">
        <v>43</v>
      </c>
      <c r="AA28" t="s">
        <v>111</v>
      </c>
      <c r="AE28" s="39"/>
      <c r="AF28" s="39"/>
      <c r="AG28" s="39">
        <v>41397.79222372685</v>
      </c>
    </row>
    <row r="29" spans="5:33">
      <c r="E29">
        <v>110196</v>
      </c>
      <c r="F29">
        <v>41397</v>
      </c>
      <c r="G29">
        <v>10024739</v>
      </c>
      <c r="H29" t="s">
        <v>112</v>
      </c>
      <c r="I29" t="s">
        <v>113</v>
      </c>
      <c r="J29" t="s">
        <v>114</v>
      </c>
      <c r="K29" t="s">
        <v>39</v>
      </c>
      <c r="L29" t="s">
        <v>40</v>
      </c>
      <c r="M29" t="s">
        <v>41</v>
      </c>
      <c r="N29">
        <v>24</v>
      </c>
      <c r="O29">
        <v>41537</v>
      </c>
      <c r="P29">
        <v>100</v>
      </c>
      <c r="Q29">
        <v>0</v>
      </c>
      <c r="R29" t="s">
        <v>42</v>
      </c>
      <c r="S29" t="s">
        <v>43</v>
      </c>
      <c r="T29" t="s">
        <v>43</v>
      </c>
      <c r="AA29" t="s">
        <v>115</v>
      </c>
      <c r="AE29" s="39"/>
      <c r="AF29" s="39"/>
      <c r="AG29" s="39">
        <v>41397.79222372685</v>
      </c>
    </row>
    <row r="30" spans="5:33">
      <c r="E30">
        <v>110195</v>
      </c>
      <c r="F30">
        <v>41397</v>
      </c>
      <c r="G30">
        <v>10024727</v>
      </c>
      <c r="N30">
        <v>0</v>
      </c>
      <c r="P30">
        <v>0</v>
      </c>
      <c r="Q30">
        <v>0</v>
      </c>
      <c r="AE30" s="39"/>
      <c r="AF30" s="39"/>
      <c r="AG30" s="39">
        <v>41397.79222372685</v>
      </c>
    </row>
    <row r="31" spans="5:33">
      <c r="E31">
        <v>110194</v>
      </c>
      <c r="F31">
        <v>41397</v>
      </c>
      <c r="G31">
        <v>10024726</v>
      </c>
      <c r="H31" t="s">
        <v>116</v>
      </c>
      <c r="I31" t="s">
        <v>117</v>
      </c>
      <c r="J31" t="s">
        <v>118</v>
      </c>
      <c r="K31" t="s">
        <v>39</v>
      </c>
      <c r="L31" t="s">
        <v>53</v>
      </c>
      <c r="M31" t="s">
        <v>48</v>
      </c>
      <c r="N31">
        <v>10481.4</v>
      </c>
      <c r="O31">
        <v>41627</v>
      </c>
      <c r="P31">
        <v>1</v>
      </c>
      <c r="Q31">
        <v>0</v>
      </c>
      <c r="R31" t="s">
        <v>42</v>
      </c>
      <c r="S31" t="s">
        <v>119</v>
      </c>
      <c r="T31" t="s">
        <v>119</v>
      </c>
      <c r="AA31" t="s">
        <v>120</v>
      </c>
      <c r="AE31" s="39"/>
      <c r="AF31" s="39"/>
      <c r="AG31" s="39">
        <v>41397.79222372685</v>
      </c>
    </row>
    <row r="32" spans="5:33">
      <c r="E32">
        <v>110193</v>
      </c>
      <c r="F32">
        <v>41397</v>
      </c>
      <c r="G32">
        <v>10024713</v>
      </c>
      <c r="H32" t="s">
        <v>121</v>
      </c>
      <c r="I32" t="s">
        <v>122</v>
      </c>
      <c r="J32" t="s">
        <v>123</v>
      </c>
      <c r="K32" t="s">
        <v>39</v>
      </c>
      <c r="L32" t="s">
        <v>40</v>
      </c>
      <c r="M32" t="s">
        <v>48</v>
      </c>
      <c r="N32">
        <v>65</v>
      </c>
      <c r="O32">
        <v>41537</v>
      </c>
      <c r="P32">
        <v>100</v>
      </c>
      <c r="Q32">
        <v>0</v>
      </c>
      <c r="R32" t="s">
        <v>42</v>
      </c>
      <c r="S32" t="s">
        <v>43</v>
      </c>
      <c r="T32" t="s">
        <v>43</v>
      </c>
      <c r="AA32" t="s">
        <v>124</v>
      </c>
      <c r="AE32" s="39"/>
      <c r="AF32" s="39"/>
      <c r="AG32" s="39">
        <v>41397.79222372685</v>
      </c>
    </row>
    <row r="33" spans="5:33">
      <c r="E33">
        <v>110192</v>
      </c>
      <c r="F33">
        <v>41397</v>
      </c>
      <c r="G33">
        <v>10024711</v>
      </c>
      <c r="H33" t="s">
        <v>125</v>
      </c>
      <c r="I33" t="s">
        <v>113</v>
      </c>
      <c r="J33" t="s">
        <v>126</v>
      </c>
      <c r="K33" t="s">
        <v>39</v>
      </c>
      <c r="L33" t="s">
        <v>40</v>
      </c>
      <c r="M33" t="s">
        <v>41</v>
      </c>
      <c r="N33">
        <v>23</v>
      </c>
      <c r="O33">
        <v>41537</v>
      </c>
      <c r="P33">
        <v>100</v>
      </c>
      <c r="Q33">
        <v>0</v>
      </c>
      <c r="R33" t="s">
        <v>42</v>
      </c>
      <c r="S33" t="s">
        <v>43</v>
      </c>
      <c r="T33" t="s">
        <v>43</v>
      </c>
      <c r="AA33" t="s">
        <v>115</v>
      </c>
      <c r="AE33" s="39"/>
      <c r="AF33" s="39"/>
      <c r="AG33" s="39">
        <v>41397.79222372685</v>
      </c>
    </row>
    <row r="34" spans="5:33">
      <c r="E34">
        <v>110191</v>
      </c>
      <c r="F34">
        <v>41397</v>
      </c>
      <c r="G34">
        <v>10024710</v>
      </c>
      <c r="H34" t="s">
        <v>127</v>
      </c>
      <c r="I34" t="s">
        <v>113</v>
      </c>
      <c r="J34" t="s">
        <v>128</v>
      </c>
      <c r="K34" t="s">
        <v>39</v>
      </c>
      <c r="L34" t="s">
        <v>40</v>
      </c>
      <c r="M34" t="s">
        <v>41</v>
      </c>
      <c r="N34">
        <v>22</v>
      </c>
      <c r="O34">
        <v>41537</v>
      </c>
      <c r="P34">
        <v>100</v>
      </c>
      <c r="Q34">
        <v>0</v>
      </c>
      <c r="R34" t="s">
        <v>42</v>
      </c>
      <c r="S34" t="s">
        <v>43</v>
      </c>
      <c r="T34" t="s">
        <v>43</v>
      </c>
      <c r="AA34" t="s">
        <v>115</v>
      </c>
      <c r="AE34" s="39"/>
      <c r="AF34" s="39"/>
      <c r="AG34" s="39">
        <v>41397.79222372685</v>
      </c>
    </row>
    <row r="35" spans="5:33">
      <c r="E35">
        <v>110190</v>
      </c>
      <c r="F35">
        <v>41397</v>
      </c>
      <c r="G35">
        <v>10024709</v>
      </c>
      <c r="H35" t="s">
        <v>129</v>
      </c>
      <c r="I35" t="s">
        <v>113</v>
      </c>
      <c r="J35" t="s">
        <v>130</v>
      </c>
      <c r="K35" t="s">
        <v>39</v>
      </c>
      <c r="L35" t="s">
        <v>40</v>
      </c>
      <c r="M35" t="s">
        <v>48</v>
      </c>
      <c r="N35">
        <v>19</v>
      </c>
      <c r="O35">
        <v>41537</v>
      </c>
      <c r="P35">
        <v>100</v>
      </c>
      <c r="Q35">
        <v>0</v>
      </c>
      <c r="R35" t="s">
        <v>131</v>
      </c>
      <c r="S35" t="s">
        <v>43</v>
      </c>
      <c r="T35" t="s">
        <v>43</v>
      </c>
      <c r="AA35" t="s">
        <v>115</v>
      </c>
      <c r="AE35" s="39"/>
      <c r="AF35" s="39"/>
      <c r="AG35" s="39">
        <v>41397.79222372685</v>
      </c>
    </row>
    <row r="36" spans="5:33">
      <c r="E36">
        <v>110189</v>
      </c>
      <c r="F36">
        <v>41397</v>
      </c>
      <c r="G36">
        <v>10024707</v>
      </c>
      <c r="H36" t="s">
        <v>132</v>
      </c>
      <c r="I36" t="s">
        <v>101</v>
      </c>
      <c r="J36" t="s">
        <v>133</v>
      </c>
      <c r="K36" t="s">
        <v>39</v>
      </c>
      <c r="L36" t="s">
        <v>40</v>
      </c>
      <c r="M36" t="s">
        <v>41</v>
      </c>
      <c r="N36">
        <v>445</v>
      </c>
      <c r="O36">
        <v>41566</v>
      </c>
      <c r="P36">
        <v>100</v>
      </c>
      <c r="Q36">
        <v>100</v>
      </c>
      <c r="S36" t="s">
        <v>43</v>
      </c>
      <c r="T36" t="s">
        <v>43</v>
      </c>
      <c r="AA36" t="s">
        <v>103</v>
      </c>
      <c r="AE36" s="39"/>
      <c r="AF36" s="39"/>
      <c r="AG36" s="39">
        <v>41397.79222372685</v>
      </c>
    </row>
    <row r="37" spans="5:33">
      <c r="E37">
        <v>110188</v>
      </c>
      <c r="F37">
        <v>41397</v>
      </c>
      <c r="G37">
        <v>10024706</v>
      </c>
      <c r="H37" t="s">
        <v>134</v>
      </c>
      <c r="I37" t="s">
        <v>122</v>
      </c>
      <c r="J37" t="s">
        <v>135</v>
      </c>
      <c r="K37" t="s">
        <v>39</v>
      </c>
      <c r="L37" t="s">
        <v>40</v>
      </c>
      <c r="M37" t="s">
        <v>48</v>
      </c>
      <c r="N37">
        <v>64</v>
      </c>
      <c r="O37">
        <v>41537</v>
      </c>
      <c r="P37">
        <v>1</v>
      </c>
      <c r="Q37">
        <v>0</v>
      </c>
      <c r="R37" t="s">
        <v>42</v>
      </c>
      <c r="S37" t="s">
        <v>43</v>
      </c>
      <c r="T37" t="s">
        <v>43</v>
      </c>
      <c r="AA37" t="s">
        <v>124</v>
      </c>
      <c r="AE37" s="39"/>
      <c r="AF37" s="39"/>
      <c r="AG37" s="39">
        <v>41397.79222372685</v>
      </c>
    </row>
    <row r="38" spans="5:33">
      <c r="E38">
        <v>110187</v>
      </c>
      <c r="F38">
        <v>41397</v>
      </c>
      <c r="G38">
        <v>10024705</v>
      </c>
      <c r="H38" t="s">
        <v>136</v>
      </c>
      <c r="I38" t="s">
        <v>113</v>
      </c>
      <c r="J38" t="s">
        <v>137</v>
      </c>
      <c r="K38" t="s">
        <v>39</v>
      </c>
      <c r="L38" t="s">
        <v>40</v>
      </c>
      <c r="M38" t="s">
        <v>48</v>
      </c>
      <c r="N38">
        <v>20</v>
      </c>
      <c r="O38">
        <v>41656</v>
      </c>
      <c r="P38">
        <v>100</v>
      </c>
      <c r="Q38">
        <v>0</v>
      </c>
      <c r="R38" t="s">
        <v>131</v>
      </c>
      <c r="S38" t="s">
        <v>43</v>
      </c>
      <c r="T38" t="s">
        <v>43</v>
      </c>
      <c r="AA38" t="s">
        <v>115</v>
      </c>
      <c r="AE38" s="39"/>
      <c r="AF38" s="39"/>
      <c r="AG38" s="39">
        <v>41397.79222372685</v>
      </c>
    </row>
    <row r="39" spans="5:33">
      <c r="E39">
        <v>110186</v>
      </c>
      <c r="F39">
        <v>41397</v>
      </c>
      <c r="G39">
        <v>10024704</v>
      </c>
      <c r="H39" t="s">
        <v>138</v>
      </c>
      <c r="I39" t="s">
        <v>113</v>
      </c>
      <c r="J39" t="s">
        <v>139</v>
      </c>
      <c r="K39" t="s">
        <v>39</v>
      </c>
      <c r="L39" t="s">
        <v>40</v>
      </c>
      <c r="M39" t="s">
        <v>41</v>
      </c>
      <c r="N39">
        <v>23</v>
      </c>
      <c r="O39">
        <v>41656</v>
      </c>
      <c r="P39">
        <v>100</v>
      </c>
      <c r="Q39">
        <v>0</v>
      </c>
      <c r="R39" t="s">
        <v>42</v>
      </c>
      <c r="S39" t="s">
        <v>43</v>
      </c>
      <c r="T39" t="s">
        <v>43</v>
      </c>
      <c r="AA39" t="s">
        <v>115</v>
      </c>
      <c r="AE39" s="39"/>
      <c r="AF39" s="39"/>
      <c r="AG39" s="39">
        <v>41397.79222372685</v>
      </c>
    </row>
    <row r="40" spans="5:33">
      <c r="E40">
        <v>110185</v>
      </c>
      <c r="F40">
        <v>41397</v>
      </c>
      <c r="G40">
        <v>10024701</v>
      </c>
      <c r="H40" t="s">
        <v>140</v>
      </c>
      <c r="I40" t="s">
        <v>101</v>
      </c>
      <c r="J40" t="s">
        <v>141</v>
      </c>
      <c r="K40" t="s">
        <v>39</v>
      </c>
      <c r="L40" t="s">
        <v>40</v>
      </c>
      <c r="M40" t="s">
        <v>41</v>
      </c>
      <c r="N40">
        <v>490</v>
      </c>
      <c r="O40">
        <v>41447</v>
      </c>
      <c r="P40">
        <v>100</v>
      </c>
      <c r="Q40">
        <v>100</v>
      </c>
      <c r="S40" t="s">
        <v>43</v>
      </c>
      <c r="T40" t="s">
        <v>43</v>
      </c>
      <c r="AA40" t="s">
        <v>103</v>
      </c>
      <c r="AE40" s="39"/>
      <c r="AF40" s="39"/>
      <c r="AG40" s="39">
        <v>41397.79222372685</v>
      </c>
    </row>
    <row r="41" spans="5:33">
      <c r="E41">
        <v>110184</v>
      </c>
      <c r="F41">
        <v>41397</v>
      </c>
      <c r="G41">
        <v>10024694</v>
      </c>
      <c r="H41" t="s">
        <v>142</v>
      </c>
      <c r="I41" t="s">
        <v>101</v>
      </c>
      <c r="J41" t="s">
        <v>143</v>
      </c>
      <c r="K41" t="s">
        <v>39</v>
      </c>
      <c r="L41" t="s">
        <v>40</v>
      </c>
      <c r="M41" t="s">
        <v>41</v>
      </c>
      <c r="N41">
        <v>480</v>
      </c>
      <c r="O41">
        <v>41447</v>
      </c>
      <c r="P41">
        <v>100</v>
      </c>
      <c r="Q41">
        <v>100</v>
      </c>
      <c r="S41" t="s">
        <v>43</v>
      </c>
      <c r="T41" t="s">
        <v>43</v>
      </c>
      <c r="AA41" t="s">
        <v>103</v>
      </c>
      <c r="AE41" s="39"/>
      <c r="AF41" s="39"/>
      <c r="AG41" s="39">
        <v>41397.79222372685</v>
      </c>
    </row>
    <row r="42" spans="5:33">
      <c r="E42">
        <v>110183</v>
      </c>
      <c r="F42">
        <v>41397</v>
      </c>
      <c r="G42">
        <v>10024690</v>
      </c>
      <c r="H42" t="s">
        <v>144</v>
      </c>
      <c r="I42" t="s">
        <v>101</v>
      </c>
      <c r="J42" t="s">
        <v>145</v>
      </c>
      <c r="K42" t="s">
        <v>39</v>
      </c>
      <c r="L42" t="s">
        <v>40</v>
      </c>
      <c r="M42" t="s">
        <v>41</v>
      </c>
      <c r="N42">
        <v>500</v>
      </c>
      <c r="O42">
        <v>41565</v>
      </c>
      <c r="P42">
        <v>100</v>
      </c>
      <c r="Q42">
        <v>0</v>
      </c>
      <c r="R42" t="s">
        <v>42</v>
      </c>
      <c r="S42" t="s">
        <v>43</v>
      </c>
      <c r="T42" t="s">
        <v>43</v>
      </c>
      <c r="AA42" t="s">
        <v>103</v>
      </c>
      <c r="AE42" s="39"/>
      <c r="AF42" s="39"/>
      <c r="AG42" s="39">
        <v>41397.79222372685</v>
      </c>
    </row>
    <row r="43" spans="5:33">
      <c r="E43">
        <v>110182</v>
      </c>
      <c r="F43">
        <v>41397</v>
      </c>
      <c r="G43">
        <v>10024688</v>
      </c>
      <c r="H43" t="s">
        <v>146</v>
      </c>
      <c r="I43" t="s">
        <v>101</v>
      </c>
      <c r="J43" t="s">
        <v>147</v>
      </c>
      <c r="K43" t="s">
        <v>39</v>
      </c>
      <c r="L43" t="s">
        <v>40</v>
      </c>
      <c r="M43" t="s">
        <v>41</v>
      </c>
      <c r="N43">
        <v>485</v>
      </c>
      <c r="O43">
        <v>41565</v>
      </c>
      <c r="P43">
        <v>100</v>
      </c>
      <c r="Q43">
        <v>0</v>
      </c>
      <c r="R43" t="s">
        <v>42</v>
      </c>
      <c r="S43" t="s">
        <v>43</v>
      </c>
      <c r="T43" t="s">
        <v>43</v>
      </c>
      <c r="AA43" t="s">
        <v>103</v>
      </c>
      <c r="AE43" s="39"/>
      <c r="AF43" s="39"/>
      <c r="AG43" s="39">
        <v>41397.79222372685</v>
      </c>
    </row>
    <row r="44" spans="5:33">
      <c r="E44">
        <v>110181</v>
      </c>
      <c r="F44">
        <v>41397</v>
      </c>
      <c r="G44">
        <v>10024684</v>
      </c>
      <c r="H44" t="s">
        <v>148</v>
      </c>
      <c r="I44" t="s">
        <v>113</v>
      </c>
      <c r="J44" t="s">
        <v>149</v>
      </c>
      <c r="K44" t="s">
        <v>39</v>
      </c>
      <c r="L44" t="s">
        <v>40</v>
      </c>
      <c r="M44" t="s">
        <v>41</v>
      </c>
      <c r="N44">
        <v>25</v>
      </c>
      <c r="O44">
        <v>41656</v>
      </c>
      <c r="P44">
        <v>100</v>
      </c>
      <c r="Q44">
        <v>0</v>
      </c>
      <c r="R44" t="s">
        <v>42</v>
      </c>
      <c r="S44" t="s">
        <v>43</v>
      </c>
      <c r="T44" t="s">
        <v>43</v>
      </c>
      <c r="AA44" t="s">
        <v>115</v>
      </c>
      <c r="AE44" s="39"/>
      <c r="AF44" s="39"/>
      <c r="AG44" s="39">
        <v>41397.79222372685</v>
      </c>
    </row>
    <row r="45" spans="5:33">
      <c r="E45">
        <v>110180</v>
      </c>
      <c r="F45">
        <v>41397</v>
      </c>
      <c r="G45">
        <v>10024683</v>
      </c>
      <c r="H45" t="s">
        <v>150</v>
      </c>
      <c r="I45" t="s">
        <v>113</v>
      </c>
      <c r="J45" t="s">
        <v>151</v>
      </c>
      <c r="K45" t="s">
        <v>39</v>
      </c>
      <c r="L45" t="s">
        <v>40</v>
      </c>
      <c r="M45" t="s">
        <v>48</v>
      </c>
      <c r="N45">
        <v>20</v>
      </c>
      <c r="O45">
        <v>41656</v>
      </c>
      <c r="P45">
        <v>100</v>
      </c>
      <c r="Q45">
        <v>0</v>
      </c>
      <c r="R45" t="s">
        <v>131</v>
      </c>
      <c r="S45" t="s">
        <v>43</v>
      </c>
      <c r="T45" t="s">
        <v>43</v>
      </c>
      <c r="AA45" t="s">
        <v>115</v>
      </c>
      <c r="AE45" s="39"/>
      <c r="AF45" s="39"/>
      <c r="AG45" s="39">
        <v>41397.79222372685</v>
      </c>
    </row>
    <row r="46" spans="5:33">
      <c r="E46">
        <v>110179</v>
      </c>
      <c r="F46">
        <v>41397</v>
      </c>
      <c r="G46">
        <v>10024681</v>
      </c>
      <c r="H46" t="s">
        <v>152</v>
      </c>
      <c r="I46" t="s">
        <v>101</v>
      </c>
      <c r="J46" t="s">
        <v>153</v>
      </c>
      <c r="K46" t="s">
        <v>39</v>
      </c>
      <c r="L46" t="s">
        <v>40</v>
      </c>
      <c r="M46" t="s">
        <v>41</v>
      </c>
      <c r="N46">
        <v>500</v>
      </c>
      <c r="O46">
        <v>41565</v>
      </c>
      <c r="P46">
        <v>100</v>
      </c>
      <c r="Q46">
        <v>0</v>
      </c>
      <c r="R46" t="s">
        <v>42</v>
      </c>
      <c r="S46" t="s">
        <v>43</v>
      </c>
      <c r="T46" t="s">
        <v>43</v>
      </c>
      <c r="AA46" t="s">
        <v>103</v>
      </c>
      <c r="AE46" s="39"/>
      <c r="AF46" s="39"/>
      <c r="AG46" s="39">
        <v>41397.79222372685</v>
      </c>
    </row>
    <row r="47" spans="5:33">
      <c r="E47">
        <v>110178</v>
      </c>
      <c r="F47">
        <v>41397</v>
      </c>
      <c r="G47">
        <v>10024676</v>
      </c>
      <c r="H47" t="s">
        <v>154</v>
      </c>
      <c r="I47" t="s">
        <v>109</v>
      </c>
      <c r="J47" t="s">
        <v>155</v>
      </c>
      <c r="K47" t="s">
        <v>39</v>
      </c>
      <c r="L47" t="s">
        <v>40</v>
      </c>
      <c r="M47" t="s">
        <v>48</v>
      </c>
      <c r="N47">
        <v>15</v>
      </c>
      <c r="O47">
        <v>41657</v>
      </c>
      <c r="P47">
        <v>100</v>
      </c>
      <c r="Q47">
        <v>100</v>
      </c>
      <c r="S47" t="s">
        <v>43</v>
      </c>
      <c r="T47" t="s">
        <v>43</v>
      </c>
      <c r="AA47" t="s">
        <v>111</v>
      </c>
      <c r="AE47" s="39"/>
      <c r="AF47" s="39"/>
      <c r="AG47" s="39">
        <v>41397.79222372685</v>
      </c>
    </row>
    <row r="48" spans="5:33">
      <c r="E48">
        <v>110177</v>
      </c>
      <c r="F48">
        <v>41397</v>
      </c>
      <c r="G48">
        <v>10024656</v>
      </c>
      <c r="H48" t="s">
        <v>156</v>
      </c>
      <c r="I48" t="s">
        <v>122</v>
      </c>
      <c r="J48" t="s">
        <v>157</v>
      </c>
      <c r="K48" t="s">
        <v>39</v>
      </c>
      <c r="L48" t="s">
        <v>40</v>
      </c>
      <c r="M48" t="s">
        <v>48</v>
      </c>
      <c r="N48">
        <v>65</v>
      </c>
      <c r="O48">
        <v>41447</v>
      </c>
      <c r="P48">
        <v>100</v>
      </c>
      <c r="Q48">
        <v>100</v>
      </c>
      <c r="S48" t="s">
        <v>43</v>
      </c>
      <c r="T48" t="s">
        <v>43</v>
      </c>
      <c r="AA48" t="s">
        <v>124</v>
      </c>
      <c r="AE48" s="39"/>
      <c r="AF48" s="39"/>
      <c r="AG48" s="39">
        <v>41397.79222372685</v>
      </c>
    </row>
    <row r="49" spans="5:33">
      <c r="E49">
        <v>110176</v>
      </c>
      <c r="F49">
        <v>41397</v>
      </c>
      <c r="G49">
        <v>10024650</v>
      </c>
      <c r="H49" t="s">
        <v>158</v>
      </c>
      <c r="I49" t="s">
        <v>109</v>
      </c>
      <c r="J49" t="s">
        <v>159</v>
      </c>
      <c r="K49" t="s">
        <v>39</v>
      </c>
      <c r="L49" t="s">
        <v>40</v>
      </c>
      <c r="M49" t="s">
        <v>48</v>
      </c>
      <c r="N49">
        <v>10</v>
      </c>
      <c r="O49">
        <v>41657</v>
      </c>
      <c r="P49">
        <v>100</v>
      </c>
      <c r="Q49">
        <v>100</v>
      </c>
      <c r="S49" t="s">
        <v>43</v>
      </c>
      <c r="T49" t="s">
        <v>43</v>
      </c>
      <c r="AA49" t="s">
        <v>111</v>
      </c>
      <c r="AE49" s="39"/>
      <c r="AF49" s="39"/>
      <c r="AG49" s="39">
        <v>41397.79222372685</v>
      </c>
    </row>
    <row r="50" spans="5:33">
      <c r="E50">
        <v>110175</v>
      </c>
      <c r="F50">
        <v>41397</v>
      </c>
      <c r="G50">
        <v>10024479</v>
      </c>
      <c r="H50" t="s">
        <v>160</v>
      </c>
      <c r="I50" t="s">
        <v>51</v>
      </c>
      <c r="J50" t="s">
        <v>161</v>
      </c>
      <c r="K50" t="s">
        <v>39</v>
      </c>
      <c r="L50" t="s">
        <v>53</v>
      </c>
      <c r="M50" t="s">
        <v>48</v>
      </c>
      <c r="N50">
        <v>1325</v>
      </c>
      <c r="O50">
        <v>41538</v>
      </c>
      <c r="P50">
        <v>100</v>
      </c>
      <c r="Q50">
        <v>0</v>
      </c>
      <c r="S50" t="s">
        <v>43</v>
      </c>
      <c r="T50" t="s">
        <v>43</v>
      </c>
      <c r="AA50" t="s">
        <v>51</v>
      </c>
      <c r="AE50" s="39"/>
      <c r="AF50" s="39"/>
      <c r="AG50" s="39">
        <v>41397.79222372685</v>
      </c>
    </row>
    <row r="51" spans="5:33">
      <c r="E51">
        <v>110174</v>
      </c>
      <c r="F51">
        <v>41397</v>
      </c>
      <c r="G51">
        <v>10023708</v>
      </c>
      <c r="H51" t="s">
        <v>162</v>
      </c>
      <c r="I51" t="s">
        <v>163</v>
      </c>
      <c r="J51" t="s">
        <v>164</v>
      </c>
      <c r="K51" t="s">
        <v>39</v>
      </c>
      <c r="L51" t="s">
        <v>40</v>
      </c>
      <c r="M51" t="s">
        <v>41</v>
      </c>
      <c r="N51">
        <v>9.81</v>
      </c>
      <c r="O51">
        <v>42885</v>
      </c>
      <c r="P51">
        <v>1</v>
      </c>
      <c r="Q51">
        <v>0</v>
      </c>
      <c r="R51" t="s">
        <v>42</v>
      </c>
      <c r="S51" t="s">
        <v>43</v>
      </c>
      <c r="T51" t="s">
        <v>43</v>
      </c>
      <c r="AA51" t="s">
        <v>165</v>
      </c>
      <c r="AE51" s="39"/>
      <c r="AF51" s="39"/>
      <c r="AG51" s="39">
        <v>41397.79222372685</v>
      </c>
    </row>
    <row r="52" spans="5:33">
      <c r="E52">
        <v>110173</v>
      </c>
      <c r="F52">
        <v>41397</v>
      </c>
      <c r="G52">
        <v>10023707</v>
      </c>
      <c r="H52" t="s">
        <v>166</v>
      </c>
      <c r="I52" t="s">
        <v>163</v>
      </c>
      <c r="J52" t="s">
        <v>167</v>
      </c>
      <c r="K52" t="s">
        <v>39</v>
      </c>
      <c r="L52" t="s">
        <v>40</v>
      </c>
      <c r="M52" t="s">
        <v>41</v>
      </c>
      <c r="N52">
        <v>9.81</v>
      </c>
      <c r="O52">
        <v>42885</v>
      </c>
      <c r="P52">
        <v>1</v>
      </c>
      <c r="Q52">
        <v>0</v>
      </c>
      <c r="R52" t="s">
        <v>42</v>
      </c>
      <c r="S52" t="s">
        <v>43</v>
      </c>
      <c r="T52" t="s">
        <v>43</v>
      </c>
      <c r="AA52" t="s">
        <v>165</v>
      </c>
      <c r="AE52" s="39"/>
      <c r="AF52" s="39"/>
      <c r="AG52" s="39">
        <v>41397.79222372685</v>
      </c>
    </row>
    <row r="53" spans="5:33">
      <c r="E53">
        <v>110172</v>
      </c>
      <c r="F53">
        <v>41397</v>
      </c>
      <c r="G53">
        <v>10023705</v>
      </c>
      <c r="H53" t="s">
        <v>168</v>
      </c>
      <c r="I53" t="s">
        <v>163</v>
      </c>
      <c r="J53" t="s">
        <v>169</v>
      </c>
      <c r="K53" t="s">
        <v>39</v>
      </c>
      <c r="L53" t="s">
        <v>40</v>
      </c>
      <c r="M53" t="s">
        <v>41</v>
      </c>
      <c r="N53">
        <v>9.81</v>
      </c>
      <c r="O53">
        <v>42885</v>
      </c>
      <c r="P53">
        <v>1</v>
      </c>
      <c r="Q53">
        <v>0</v>
      </c>
      <c r="R53" t="s">
        <v>42</v>
      </c>
      <c r="S53" t="s">
        <v>43</v>
      </c>
      <c r="T53" t="s">
        <v>43</v>
      </c>
      <c r="AA53" t="s">
        <v>165</v>
      </c>
      <c r="AE53" s="39"/>
      <c r="AF53" s="39"/>
      <c r="AG53" s="39">
        <v>41397.79222372685</v>
      </c>
    </row>
    <row r="54" spans="5:33">
      <c r="E54">
        <v>110171</v>
      </c>
      <c r="F54">
        <v>41397</v>
      </c>
      <c r="G54">
        <v>10023704</v>
      </c>
      <c r="H54" t="s">
        <v>170</v>
      </c>
      <c r="I54" t="s">
        <v>163</v>
      </c>
      <c r="J54" t="s">
        <v>171</v>
      </c>
      <c r="K54" t="s">
        <v>39</v>
      </c>
      <c r="L54" t="s">
        <v>40</v>
      </c>
      <c r="M54" t="s">
        <v>41</v>
      </c>
      <c r="N54">
        <v>9.81</v>
      </c>
      <c r="O54">
        <v>42885</v>
      </c>
      <c r="P54">
        <v>1</v>
      </c>
      <c r="Q54">
        <v>0</v>
      </c>
      <c r="R54" t="s">
        <v>42</v>
      </c>
      <c r="S54" t="s">
        <v>43</v>
      </c>
      <c r="T54" t="s">
        <v>43</v>
      </c>
      <c r="AA54" t="s">
        <v>165</v>
      </c>
      <c r="AE54" s="39"/>
      <c r="AF54" s="39"/>
      <c r="AG54" s="39">
        <v>41397.79222372685</v>
      </c>
    </row>
    <row r="55" spans="5:33">
      <c r="E55">
        <v>110170</v>
      </c>
      <c r="F55">
        <v>41397</v>
      </c>
      <c r="G55">
        <v>10023679</v>
      </c>
      <c r="H55" t="s">
        <v>172</v>
      </c>
      <c r="J55" t="s">
        <v>173</v>
      </c>
      <c r="K55" t="s">
        <v>91</v>
      </c>
      <c r="L55" t="s">
        <v>53</v>
      </c>
      <c r="M55" t="s">
        <v>39</v>
      </c>
      <c r="N55">
        <v>3.7446999999999999</v>
      </c>
      <c r="O55">
        <v>41792</v>
      </c>
      <c r="P55">
        <v>100000000</v>
      </c>
      <c r="Q55">
        <v>0</v>
      </c>
      <c r="R55" t="s">
        <v>3</v>
      </c>
      <c r="S55" t="s">
        <v>43</v>
      </c>
      <c r="T55" t="s">
        <v>174</v>
      </c>
      <c r="U55" t="s">
        <v>43</v>
      </c>
      <c r="V55" t="s">
        <v>43</v>
      </c>
      <c r="W55" t="s">
        <v>43</v>
      </c>
      <c r="X55" t="s">
        <v>174</v>
      </c>
      <c r="Y55" t="s">
        <v>43</v>
      </c>
      <c r="Z55" t="s">
        <v>43</v>
      </c>
      <c r="AA55" t="s">
        <v>43</v>
      </c>
      <c r="AE55" s="39"/>
      <c r="AF55" s="39"/>
      <c r="AG55" s="39">
        <v>41397.79222372685</v>
      </c>
    </row>
    <row r="56" spans="5:33">
      <c r="E56">
        <v>110169</v>
      </c>
      <c r="F56">
        <v>41397</v>
      </c>
      <c r="G56">
        <v>10023678</v>
      </c>
      <c r="H56" t="s">
        <v>175</v>
      </c>
      <c r="J56" t="s">
        <v>176</v>
      </c>
      <c r="K56" t="s">
        <v>91</v>
      </c>
      <c r="L56" t="s">
        <v>53</v>
      </c>
      <c r="M56" t="s">
        <v>92</v>
      </c>
      <c r="N56">
        <v>3.7446999999999999</v>
      </c>
      <c r="O56">
        <v>41792</v>
      </c>
      <c r="P56">
        <v>100000000</v>
      </c>
      <c r="Q56">
        <v>0</v>
      </c>
      <c r="R56" t="s">
        <v>3</v>
      </c>
      <c r="S56" t="s">
        <v>43</v>
      </c>
      <c r="T56" t="s">
        <v>174</v>
      </c>
      <c r="U56" t="s">
        <v>43</v>
      </c>
      <c r="V56" t="s">
        <v>43</v>
      </c>
      <c r="W56" t="s">
        <v>43</v>
      </c>
      <c r="X56" t="s">
        <v>174</v>
      </c>
      <c r="Y56" t="s">
        <v>43</v>
      </c>
      <c r="Z56" t="s">
        <v>43</v>
      </c>
      <c r="AA56" t="s">
        <v>43</v>
      </c>
      <c r="AE56" s="39"/>
      <c r="AF56" s="39"/>
      <c r="AG56" s="39">
        <v>41397.79222372685</v>
      </c>
    </row>
    <row r="57" spans="5:33">
      <c r="E57">
        <v>110168</v>
      </c>
      <c r="F57">
        <v>41397</v>
      </c>
      <c r="G57">
        <v>10023489</v>
      </c>
      <c r="H57" t="s">
        <v>177</v>
      </c>
      <c r="I57" t="s">
        <v>178</v>
      </c>
      <c r="J57" t="s">
        <v>179</v>
      </c>
      <c r="K57" t="s">
        <v>91</v>
      </c>
      <c r="L57" t="s">
        <v>53</v>
      </c>
      <c r="M57" t="s">
        <v>39</v>
      </c>
      <c r="N57">
        <v>5</v>
      </c>
      <c r="O57">
        <v>41639</v>
      </c>
      <c r="P57">
        <v>3840000</v>
      </c>
      <c r="Q57">
        <v>0</v>
      </c>
      <c r="R57" t="s">
        <v>3</v>
      </c>
      <c r="T57" t="s">
        <v>43</v>
      </c>
      <c r="U57" t="s">
        <v>43</v>
      </c>
      <c r="V57" t="s">
        <v>180</v>
      </c>
      <c r="AA57" t="s">
        <v>181</v>
      </c>
      <c r="AE57" s="39"/>
      <c r="AF57" s="39"/>
      <c r="AG57" s="39">
        <v>41397.79222372685</v>
      </c>
    </row>
    <row r="58" spans="5:33">
      <c r="E58">
        <v>110167</v>
      </c>
      <c r="F58">
        <v>41397</v>
      </c>
      <c r="G58">
        <v>10023380</v>
      </c>
      <c r="H58" t="s">
        <v>182</v>
      </c>
      <c r="J58" t="s">
        <v>183</v>
      </c>
      <c r="K58" t="s">
        <v>91</v>
      </c>
      <c r="L58" t="s">
        <v>53</v>
      </c>
      <c r="M58" t="s">
        <v>92</v>
      </c>
      <c r="N58">
        <v>3.7473999999999998</v>
      </c>
      <c r="O58">
        <v>41743</v>
      </c>
      <c r="P58">
        <v>85000000</v>
      </c>
      <c r="Q58">
        <v>0</v>
      </c>
      <c r="R58" t="s">
        <v>3</v>
      </c>
      <c r="S58" t="s">
        <v>43</v>
      </c>
      <c r="T58" t="s">
        <v>174</v>
      </c>
      <c r="U58" t="s">
        <v>43</v>
      </c>
      <c r="V58" t="s">
        <v>43</v>
      </c>
      <c r="W58" t="s">
        <v>43</v>
      </c>
      <c r="X58" t="s">
        <v>174</v>
      </c>
      <c r="Y58" t="s">
        <v>174</v>
      </c>
      <c r="Z58" t="s">
        <v>43</v>
      </c>
      <c r="AA58" t="s">
        <v>43</v>
      </c>
      <c r="AE58" s="39"/>
      <c r="AF58" s="39"/>
      <c r="AG58" s="39">
        <v>41397.79222372685</v>
      </c>
    </row>
    <row r="59" spans="5:33">
      <c r="E59">
        <v>110166</v>
      </c>
      <c r="F59">
        <v>41397</v>
      </c>
      <c r="G59">
        <v>10023379</v>
      </c>
      <c r="H59" t="s">
        <v>184</v>
      </c>
      <c r="J59" t="s">
        <v>185</v>
      </c>
      <c r="K59" t="s">
        <v>91</v>
      </c>
      <c r="L59" t="s">
        <v>53</v>
      </c>
      <c r="M59" t="s">
        <v>39</v>
      </c>
      <c r="N59">
        <v>3.7473999999999998</v>
      </c>
      <c r="O59">
        <v>41743</v>
      </c>
      <c r="P59">
        <v>85000000</v>
      </c>
      <c r="Q59">
        <v>0</v>
      </c>
      <c r="R59" t="s">
        <v>3</v>
      </c>
      <c r="S59" t="s">
        <v>43</v>
      </c>
      <c r="T59" t="s">
        <v>174</v>
      </c>
      <c r="U59" t="s">
        <v>43</v>
      </c>
      <c r="V59" t="s">
        <v>43</v>
      </c>
      <c r="W59" t="s">
        <v>43</v>
      </c>
      <c r="X59" t="s">
        <v>174</v>
      </c>
      <c r="Y59" t="s">
        <v>174</v>
      </c>
      <c r="Z59" t="s">
        <v>43</v>
      </c>
      <c r="AA59" t="s">
        <v>43</v>
      </c>
      <c r="AE59" s="39"/>
      <c r="AF59" s="39"/>
      <c r="AG59" s="39">
        <v>41397.79222372685</v>
      </c>
    </row>
    <row r="60" spans="5:33">
      <c r="E60">
        <v>110165</v>
      </c>
      <c r="F60">
        <v>41397</v>
      </c>
      <c r="G60">
        <v>10022722</v>
      </c>
      <c r="H60" t="s">
        <v>186</v>
      </c>
      <c r="J60" t="s">
        <v>187</v>
      </c>
      <c r="K60" t="s">
        <v>91</v>
      </c>
      <c r="L60" t="s">
        <v>53</v>
      </c>
      <c r="M60" t="s">
        <v>92</v>
      </c>
      <c r="N60">
        <v>3.7458</v>
      </c>
      <c r="O60">
        <v>41565</v>
      </c>
      <c r="P60">
        <v>48600000</v>
      </c>
      <c r="Q60">
        <v>0</v>
      </c>
      <c r="R60" t="s">
        <v>3</v>
      </c>
      <c r="S60" t="s">
        <v>43</v>
      </c>
      <c r="T60" t="s">
        <v>174</v>
      </c>
      <c r="U60" t="s">
        <v>43</v>
      </c>
      <c r="V60" t="s">
        <v>43</v>
      </c>
      <c r="W60" t="s">
        <v>43</v>
      </c>
      <c r="X60" t="s">
        <v>174</v>
      </c>
      <c r="Y60" t="s">
        <v>43</v>
      </c>
      <c r="Z60" t="s">
        <v>43</v>
      </c>
      <c r="AA60" t="s">
        <v>43</v>
      </c>
      <c r="AE60" s="39"/>
      <c r="AF60" s="39"/>
      <c r="AG60" s="39">
        <v>41397.79222372685</v>
      </c>
    </row>
    <row r="61" spans="5:33">
      <c r="E61">
        <v>110164</v>
      </c>
      <c r="F61">
        <v>41397</v>
      </c>
      <c r="G61">
        <v>10022719</v>
      </c>
      <c r="H61" t="s">
        <v>188</v>
      </c>
      <c r="J61" t="s">
        <v>189</v>
      </c>
      <c r="K61" t="s">
        <v>91</v>
      </c>
      <c r="L61" t="s">
        <v>53</v>
      </c>
      <c r="M61" t="s">
        <v>39</v>
      </c>
      <c r="N61">
        <v>3.7458</v>
      </c>
      <c r="O61">
        <v>41565</v>
      </c>
      <c r="P61">
        <v>113300000</v>
      </c>
      <c r="Q61">
        <v>0</v>
      </c>
      <c r="R61" t="s">
        <v>3</v>
      </c>
      <c r="S61" t="s">
        <v>43</v>
      </c>
      <c r="T61" t="s">
        <v>174</v>
      </c>
      <c r="U61" t="s">
        <v>43</v>
      </c>
      <c r="V61" t="s">
        <v>43</v>
      </c>
      <c r="W61" t="s">
        <v>43</v>
      </c>
      <c r="X61" t="s">
        <v>174</v>
      </c>
      <c r="Y61" t="s">
        <v>43</v>
      </c>
      <c r="Z61" t="s">
        <v>43</v>
      </c>
      <c r="AA61" t="s">
        <v>43</v>
      </c>
      <c r="AE61" s="39"/>
      <c r="AF61" s="39"/>
      <c r="AG61" s="39">
        <v>41397.79222372685</v>
      </c>
    </row>
    <row r="62" spans="5:33">
      <c r="E62">
        <v>110163</v>
      </c>
      <c r="F62">
        <v>41397</v>
      </c>
      <c r="G62">
        <v>10022695</v>
      </c>
      <c r="H62" t="s">
        <v>190</v>
      </c>
      <c r="J62" t="s">
        <v>191</v>
      </c>
      <c r="K62" t="s">
        <v>91</v>
      </c>
      <c r="L62" t="s">
        <v>53</v>
      </c>
      <c r="M62" t="s">
        <v>92</v>
      </c>
      <c r="N62">
        <v>3.7444999999999999</v>
      </c>
      <c r="O62">
        <v>41562</v>
      </c>
      <c r="P62">
        <v>66200000</v>
      </c>
      <c r="Q62">
        <v>0</v>
      </c>
      <c r="R62" t="s">
        <v>3</v>
      </c>
      <c r="S62" t="s">
        <v>43</v>
      </c>
      <c r="T62" t="s">
        <v>174</v>
      </c>
      <c r="U62" t="s">
        <v>43</v>
      </c>
      <c r="V62" t="s">
        <v>43</v>
      </c>
      <c r="W62" t="s">
        <v>43</v>
      </c>
      <c r="X62" t="s">
        <v>174</v>
      </c>
      <c r="Y62" t="s">
        <v>43</v>
      </c>
      <c r="Z62" t="s">
        <v>43</v>
      </c>
      <c r="AA62" t="s">
        <v>43</v>
      </c>
      <c r="AE62" s="39"/>
      <c r="AF62" s="39"/>
      <c r="AG62" s="39">
        <v>41397.79222372685</v>
      </c>
    </row>
    <row r="63" spans="5:33">
      <c r="E63">
        <v>110162</v>
      </c>
      <c r="F63">
        <v>41397</v>
      </c>
      <c r="G63">
        <v>10022689</v>
      </c>
      <c r="H63" t="s">
        <v>192</v>
      </c>
      <c r="J63" t="s">
        <v>193</v>
      </c>
      <c r="K63" t="s">
        <v>91</v>
      </c>
      <c r="L63" t="s">
        <v>53</v>
      </c>
      <c r="M63" t="s">
        <v>39</v>
      </c>
      <c r="N63">
        <v>3.7444999999999999</v>
      </c>
      <c r="O63">
        <v>41562</v>
      </c>
      <c r="P63">
        <v>154500000</v>
      </c>
      <c r="Q63">
        <v>0</v>
      </c>
      <c r="R63" t="s">
        <v>3</v>
      </c>
      <c r="S63" t="s">
        <v>43</v>
      </c>
      <c r="T63" t="s">
        <v>174</v>
      </c>
      <c r="U63" t="s">
        <v>43</v>
      </c>
      <c r="V63" t="s">
        <v>43</v>
      </c>
      <c r="W63" t="s">
        <v>43</v>
      </c>
      <c r="X63" t="s">
        <v>174</v>
      </c>
      <c r="Y63" t="s">
        <v>43</v>
      </c>
      <c r="Z63" t="s">
        <v>43</v>
      </c>
      <c r="AA63" t="s">
        <v>43</v>
      </c>
      <c r="AE63" s="39"/>
      <c r="AF63" s="39"/>
      <c r="AG63" s="39">
        <v>41397.79222372685</v>
      </c>
    </row>
    <row r="64" spans="5:33">
      <c r="E64">
        <v>110161</v>
      </c>
      <c r="F64">
        <v>41397</v>
      </c>
      <c r="G64">
        <v>10021380</v>
      </c>
      <c r="H64" t="s">
        <v>194</v>
      </c>
      <c r="I64" t="s">
        <v>163</v>
      </c>
      <c r="J64" t="s">
        <v>195</v>
      </c>
      <c r="K64" t="s">
        <v>39</v>
      </c>
      <c r="L64" t="s">
        <v>40</v>
      </c>
      <c r="M64" t="s">
        <v>41</v>
      </c>
      <c r="N64">
        <v>9.33</v>
      </c>
      <c r="O64">
        <v>42492</v>
      </c>
      <c r="P64">
        <v>1</v>
      </c>
      <c r="Q64">
        <v>0</v>
      </c>
      <c r="R64" t="s">
        <v>42</v>
      </c>
      <c r="S64" t="s">
        <v>43</v>
      </c>
      <c r="T64" t="s">
        <v>43</v>
      </c>
      <c r="AA64" t="s">
        <v>165</v>
      </c>
      <c r="AE64" s="39"/>
      <c r="AF64" s="39"/>
      <c r="AG64" s="39">
        <v>41397.79222372685</v>
      </c>
    </row>
    <row r="65" spans="5:33">
      <c r="E65">
        <v>110160</v>
      </c>
      <c r="F65">
        <v>41397</v>
      </c>
      <c r="G65">
        <v>10021379</v>
      </c>
      <c r="H65" t="s">
        <v>196</v>
      </c>
      <c r="I65" t="s">
        <v>163</v>
      </c>
      <c r="J65" t="s">
        <v>197</v>
      </c>
      <c r="K65" t="s">
        <v>39</v>
      </c>
      <c r="L65" t="s">
        <v>40</v>
      </c>
      <c r="M65" t="s">
        <v>41</v>
      </c>
      <c r="N65">
        <v>9.33</v>
      </c>
      <c r="O65">
        <v>42492</v>
      </c>
      <c r="P65">
        <v>1</v>
      </c>
      <c r="Q65">
        <v>0</v>
      </c>
      <c r="R65" t="s">
        <v>42</v>
      </c>
      <c r="S65" t="s">
        <v>43</v>
      </c>
      <c r="T65" t="s">
        <v>43</v>
      </c>
      <c r="AA65" t="s">
        <v>165</v>
      </c>
      <c r="AE65" s="39"/>
      <c r="AF65" s="39"/>
      <c r="AG65" s="39">
        <v>41397.79222372685</v>
      </c>
    </row>
    <row r="66" spans="5:33">
      <c r="E66">
        <v>110159</v>
      </c>
      <c r="F66">
        <v>41397</v>
      </c>
      <c r="G66">
        <v>10021378</v>
      </c>
      <c r="H66" t="s">
        <v>198</v>
      </c>
      <c r="I66" t="s">
        <v>163</v>
      </c>
      <c r="J66" t="s">
        <v>199</v>
      </c>
      <c r="K66" t="s">
        <v>39</v>
      </c>
      <c r="L66" t="s">
        <v>40</v>
      </c>
      <c r="M66" t="s">
        <v>41</v>
      </c>
      <c r="N66">
        <v>9.33</v>
      </c>
      <c r="O66">
        <v>42492</v>
      </c>
      <c r="P66">
        <v>1</v>
      </c>
      <c r="Q66">
        <v>0</v>
      </c>
      <c r="R66" t="s">
        <v>42</v>
      </c>
      <c r="S66" t="s">
        <v>43</v>
      </c>
      <c r="T66" t="s">
        <v>43</v>
      </c>
      <c r="AA66" t="s">
        <v>165</v>
      </c>
      <c r="AE66" s="39"/>
      <c r="AF66" s="39"/>
      <c r="AG66" s="39">
        <v>41397.79222372685</v>
      </c>
    </row>
    <row r="67" spans="5:33">
      <c r="E67">
        <v>110158</v>
      </c>
      <c r="F67">
        <v>41397</v>
      </c>
      <c r="G67">
        <v>10021377</v>
      </c>
      <c r="H67" t="s">
        <v>200</v>
      </c>
      <c r="I67" t="s">
        <v>163</v>
      </c>
      <c r="J67" t="s">
        <v>201</v>
      </c>
      <c r="K67" t="s">
        <v>39</v>
      </c>
      <c r="L67" t="s">
        <v>40</v>
      </c>
      <c r="M67" t="s">
        <v>41</v>
      </c>
      <c r="N67">
        <v>9.33</v>
      </c>
      <c r="O67">
        <v>42492</v>
      </c>
      <c r="P67">
        <v>1</v>
      </c>
      <c r="Q67">
        <v>0</v>
      </c>
      <c r="R67" t="s">
        <v>42</v>
      </c>
      <c r="S67" t="s">
        <v>43</v>
      </c>
      <c r="T67" t="s">
        <v>43</v>
      </c>
      <c r="AA67" t="s">
        <v>165</v>
      </c>
      <c r="AE67" s="39"/>
      <c r="AF67" s="39"/>
      <c r="AG67" s="39">
        <v>41397.79222372685</v>
      </c>
    </row>
    <row r="68" spans="5:33">
      <c r="E68">
        <v>110157</v>
      </c>
      <c r="F68">
        <v>41397</v>
      </c>
      <c r="G68">
        <v>10020387</v>
      </c>
      <c r="H68" t="s">
        <v>202</v>
      </c>
      <c r="N68">
        <v>0</v>
      </c>
      <c r="P68">
        <v>0</v>
      </c>
      <c r="Q68">
        <v>0</v>
      </c>
      <c r="AE68" s="39"/>
      <c r="AF68" s="39"/>
      <c r="AG68" s="39">
        <v>41397.79222372685</v>
      </c>
    </row>
    <row r="69" spans="5:33">
      <c r="E69">
        <v>110156</v>
      </c>
      <c r="F69">
        <v>41397</v>
      </c>
      <c r="G69">
        <v>10011288</v>
      </c>
      <c r="H69" t="s">
        <v>203</v>
      </c>
      <c r="N69">
        <v>0</v>
      </c>
      <c r="P69">
        <v>0</v>
      </c>
      <c r="Q69">
        <v>0</v>
      </c>
      <c r="AE69" s="39"/>
      <c r="AF69" s="39"/>
      <c r="AG69" s="39">
        <v>41397.79222372685</v>
      </c>
    </row>
    <row r="70" spans="5:33">
      <c r="E70">
        <v>110155</v>
      </c>
      <c r="F70">
        <v>41397</v>
      </c>
      <c r="G70">
        <v>10008174</v>
      </c>
      <c r="H70" t="s">
        <v>204</v>
      </c>
      <c r="N70">
        <v>0</v>
      </c>
      <c r="P70">
        <v>0</v>
      </c>
      <c r="Q70">
        <v>0</v>
      </c>
      <c r="AE70" s="39"/>
      <c r="AF70" s="39"/>
      <c r="AG70" s="39">
        <v>41397.79222372685</v>
      </c>
    </row>
    <row r="71" spans="5:33">
      <c r="E71">
        <v>110154</v>
      </c>
      <c r="F71">
        <v>41397</v>
      </c>
      <c r="G71">
        <v>10007513</v>
      </c>
      <c r="H71" t="s">
        <v>205</v>
      </c>
      <c r="N71">
        <v>0</v>
      </c>
      <c r="P71">
        <v>0</v>
      </c>
      <c r="Q71">
        <v>0</v>
      </c>
      <c r="AE71" s="39"/>
      <c r="AF71" s="39"/>
      <c r="AG71" s="39">
        <v>41397.79222372685</v>
      </c>
    </row>
  </sheetData>
  <dataValidations count="1">
    <dataValidation allowBlank="1" showInputMessage="1" showErrorMessage="1" promptTitle="Enter a valic connection string" prompt=" " sqref="C2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B2:C4"/>
  <sheetViews>
    <sheetView workbookViewId="0">
      <selection activeCell="B30" sqref="B30"/>
    </sheetView>
  </sheetViews>
  <sheetFormatPr defaultRowHeight="12.75"/>
  <cols>
    <col min="1" max="1" width="32.140625" customWidth="1"/>
    <col min="2" max="2" width="18.28515625" customWidth="1"/>
    <col min="3" max="3" width="93.42578125" customWidth="1"/>
  </cols>
  <sheetData>
    <row r="2" spans="2:3" ht="13.5" thickBot="1"/>
    <row r="3" spans="2:3">
      <c r="B3" s="120" t="s">
        <v>298</v>
      </c>
      <c r="C3" s="35" t="s">
        <v>4</v>
      </c>
    </row>
    <row r="4" spans="2:3" ht="13.5" thickBot="1">
      <c r="B4" s="121" t="s">
        <v>299</v>
      </c>
      <c r="C4" s="122">
        <v>180</v>
      </c>
    </row>
  </sheetData>
  <dataValidations count="1">
    <dataValidation allowBlank="1" showInputMessage="1" showErrorMessage="1" promptTitle="Enter a valic connection string" prompt=" " sqref="C3"/>
  </dataValidations>
  <pageMargins left="0.7" right="0.7" top="0.75" bottom="0.75" header="0.3" footer="0.3"/>
  <legacyDrawing r:id="rId1"/>
  <controls>
    <control shapeId="12289" r:id="rId2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N608"/>
  <sheetViews>
    <sheetView workbookViewId="0">
      <selection activeCell="B3" sqref="B3:N5"/>
    </sheetView>
  </sheetViews>
  <sheetFormatPr defaultRowHeight="12.75"/>
  <cols>
    <col min="1" max="1" width="30.140625" customWidth="1"/>
    <col min="2" max="2" width="12.7109375" bestFit="1" customWidth="1"/>
    <col min="3" max="14" width="11.7109375" customWidth="1"/>
  </cols>
  <sheetData>
    <row r="1" spans="1:14" ht="17.25" thickBot="1">
      <c r="A1" s="71" t="s">
        <v>311</v>
      </c>
    </row>
    <row r="2" spans="1:14" ht="13.5" thickBot="1"/>
    <row r="3" spans="1:14" ht="15.75" thickBot="1">
      <c r="B3" s="134" t="s">
        <v>230</v>
      </c>
      <c r="C3" s="197" t="s">
        <v>312</v>
      </c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9" customHeight="1" thickBot="1">
      <c r="B4" s="135" t="s">
        <v>231</v>
      </c>
      <c r="C4" s="200" t="s">
        <v>314</v>
      </c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2"/>
    </row>
    <row r="5" spans="1:14" ht="13.5" thickBot="1">
      <c r="B5" s="136" t="s">
        <v>315</v>
      </c>
      <c r="C5" s="203" t="s">
        <v>316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4"/>
    </row>
    <row r="8" spans="1:14">
      <c r="C8" t="s">
        <v>313</v>
      </c>
    </row>
    <row r="11" spans="1:14">
      <c r="B11" t="s">
        <v>317</v>
      </c>
      <c r="C11" t="s">
        <v>318</v>
      </c>
      <c r="D11" t="s">
        <v>319</v>
      </c>
    </row>
    <row r="12" spans="1:14">
      <c r="B12" s="39">
        <v>41163</v>
      </c>
      <c r="C12">
        <v>2400000</v>
      </c>
      <c r="D12">
        <v>33.450000000000003</v>
      </c>
    </row>
    <row r="13" spans="1:14">
      <c r="B13" s="39">
        <v>41164</v>
      </c>
      <c r="C13">
        <v>2400000</v>
      </c>
      <c r="D13">
        <v>33.799999999999997</v>
      </c>
    </row>
    <row r="14" spans="1:14">
      <c r="B14" s="39">
        <v>41165</v>
      </c>
      <c r="C14">
        <v>2400000</v>
      </c>
      <c r="D14">
        <v>34.44</v>
      </c>
    </row>
    <row r="15" spans="1:14">
      <c r="B15" s="39">
        <v>41166</v>
      </c>
      <c r="C15">
        <v>2400000</v>
      </c>
      <c r="D15">
        <v>35.020000000000003</v>
      </c>
    </row>
    <row r="16" spans="1:14">
      <c r="B16" s="39">
        <v>41167</v>
      </c>
      <c r="C16">
        <v>2400000</v>
      </c>
      <c r="D16">
        <v>35.020000000000003</v>
      </c>
    </row>
    <row r="17" spans="2:4">
      <c r="B17" s="39">
        <v>41168</v>
      </c>
      <c r="C17">
        <v>2400000</v>
      </c>
      <c r="D17">
        <v>35.020000000000003</v>
      </c>
    </row>
    <row r="18" spans="2:4">
      <c r="B18" s="39">
        <v>41169</v>
      </c>
      <c r="C18">
        <v>2400000</v>
      </c>
      <c r="D18">
        <v>34.75</v>
      </c>
    </row>
    <row r="19" spans="2:4">
      <c r="B19" s="39">
        <v>41170</v>
      </c>
      <c r="C19">
        <v>2700000</v>
      </c>
      <c r="D19">
        <v>34.4</v>
      </c>
    </row>
    <row r="20" spans="2:4">
      <c r="B20" s="39">
        <v>41171</v>
      </c>
      <c r="C20">
        <v>3000000</v>
      </c>
      <c r="D20">
        <v>34.26</v>
      </c>
    </row>
    <row r="21" spans="2:4">
      <c r="B21" s="39">
        <v>41172</v>
      </c>
      <c r="C21">
        <v>4000000</v>
      </c>
      <c r="D21">
        <v>33.82</v>
      </c>
    </row>
    <row r="22" spans="2:4">
      <c r="B22" s="39">
        <v>41173</v>
      </c>
      <c r="C22">
        <v>5000000</v>
      </c>
      <c r="D22">
        <v>33.630000000000003</v>
      </c>
    </row>
    <row r="23" spans="2:4">
      <c r="B23" s="39">
        <v>41174</v>
      </c>
      <c r="C23">
        <v>5000000</v>
      </c>
      <c r="D23">
        <v>33.630000000000003</v>
      </c>
    </row>
    <row r="24" spans="2:4">
      <c r="B24" s="39">
        <v>41175</v>
      </c>
      <c r="C24">
        <v>5000000</v>
      </c>
      <c r="D24">
        <v>33.630000000000003</v>
      </c>
    </row>
    <row r="25" spans="2:4">
      <c r="B25" s="39">
        <v>41176</v>
      </c>
      <c r="C25">
        <v>7000000</v>
      </c>
      <c r="D25">
        <v>33.9</v>
      </c>
    </row>
    <row r="26" spans="2:4">
      <c r="B26" s="39">
        <v>41177</v>
      </c>
      <c r="C26">
        <v>8200000</v>
      </c>
      <c r="D26">
        <v>33.08</v>
      </c>
    </row>
    <row r="27" spans="2:4">
      <c r="B27" s="39">
        <v>41178</v>
      </c>
      <c r="C27">
        <v>10000000</v>
      </c>
      <c r="D27">
        <v>32.75</v>
      </c>
    </row>
    <row r="28" spans="2:4">
      <c r="B28" s="39">
        <v>41179</v>
      </c>
      <c r="C28">
        <v>10000000</v>
      </c>
      <c r="D28">
        <v>33.200000000000003</v>
      </c>
    </row>
    <row r="29" spans="2:4">
      <c r="B29" s="39">
        <v>41180</v>
      </c>
      <c r="C29">
        <v>10500000</v>
      </c>
      <c r="D29">
        <v>32.79</v>
      </c>
    </row>
    <row r="30" spans="2:4">
      <c r="B30" s="39">
        <v>41181</v>
      </c>
      <c r="C30">
        <v>10500000</v>
      </c>
      <c r="D30">
        <v>32.79</v>
      </c>
    </row>
    <row r="31" spans="2:4">
      <c r="B31" s="39">
        <v>41182</v>
      </c>
      <c r="C31">
        <v>10500000</v>
      </c>
      <c r="D31">
        <v>32.79</v>
      </c>
    </row>
    <row r="32" spans="2:4">
      <c r="B32" s="39">
        <v>41183</v>
      </c>
      <c r="C32">
        <v>10500000</v>
      </c>
      <c r="D32">
        <v>33.26</v>
      </c>
    </row>
    <row r="33" spans="2:4">
      <c r="B33" s="39">
        <v>41184</v>
      </c>
      <c r="C33">
        <v>10500000</v>
      </c>
      <c r="D33">
        <v>33.47</v>
      </c>
    </row>
    <row r="34" spans="2:4">
      <c r="B34" s="39">
        <v>41185</v>
      </c>
      <c r="C34">
        <v>10500000</v>
      </c>
      <c r="D34">
        <v>34.21</v>
      </c>
    </row>
    <row r="35" spans="2:4">
      <c r="B35" s="39">
        <v>41186</v>
      </c>
      <c r="C35">
        <v>10500000</v>
      </c>
      <c r="D35">
        <v>34.949998999999998</v>
      </c>
    </row>
    <row r="36" spans="2:4">
      <c r="B36" s="39">
        <v>41187</v>
      </c>
      <c r="C36">
        <v>10700000</v>
      </c>
      <c r="D36">
        <v>35.229998999999999</v>
      </c>
    </row>
    <row r="37" spans="2:4">
      <c r="B37" s="39">
        <v>41188</v>
      </c>
      <c r="C37">
        <v>10700000</v>
      </c>
      <c r="D37">
        <v>35.229998999999999</v>
      </c>
    </row>
    <row r="38" spans="2:4">
      <c r="B38" s="39">
        <v>41189</v>
      </c>
      <c r="C38">
        <v>10700000</v>
      </c>
      <c r="D38">
        <v>35.229998999999999</v>
      </c>
    </row>
    <row r="39" spans="2:4">
      <c r="B39" s="39">
        <v>41190</v>
      </c>
      <c r="C39">
        <v>11000000</v>
      </c>
      <c r="D39">
        <v>35.899999000000001</v>
      </c>
    </row>
    <row r="40" spans="2:4">
      <c r="B40" s="39">
        <v>41191</v>
      </c>
      <c r="C40">
        <v>11300000</v>
      </c>
      <c r="D40">
        <v>35.449998999999998</v>
      </c>
    </row>
    <row r="41" spans="2:4">
      <c r="B41" s="39">
        <v>41192</v>
      </c>
      <c r="C41">
        <v>11300000</v>
      </c>
      <c r="D41">
        <v>35.489998999999997</v>
      </c>
    </row>
    <row r="42" spans="2:4">
      <c r="B42" s="39">
        <v>41193</v>
      </c>
      <c r="C42">
        <v>11300000</v>
      </c>
      <c r="D42">
        <v>35.679999000000002</v>
      </c>
    </row>
    <row r="43" spans="2:4">
      <c r="B43" s="39">
        <v>41194</v>
      </c>
      <c r="C43">
        <v>11300000</v>
      </c>
      <c r="D43">
        <v>35.459999000000003</v>
      </c>
    </row>
    <row r="44" spans="2:4">
      <c r="B44" s="39">
        <v>41195</v>
      </c>
      <c r="C44">
        <v>11300000</v>
      </c>
      <c r="D44">
        <v>35.459999000000003</v>
      </c>
    </row>
    <row r="45" spans="2:4">
      <c r="B45" s="39">
        <v>41196</v>
      </c>
      <c r="C45">
        <v>11300000</v>
      </c>
      <c r="D45">
        <v>35.459999000000003</v>
      </c>
    </row>
    <row r="46" spans="2:4">
      <c r="B46" s="39">
        <v>41197</v>
      </c>
      <c r="C46">
        <v>11950000</v>
      </c>
      <c r="D46">
        <v>36.289999000000002</v>
      </c>
    </row>
    <row r="47" spans="2:4">
      <c r="B47" s="39">
        <v>41198</v>
      </c>
      <c r="C47">
        <v>11950000</v>
      </c>
      <c r="D47">
        <v>36.35</v>
      </c>
    </row>
    <row r="48" spans="2:4">
      <c r="B48" s="39">
        <v>41199</v>
      </c>
      <c r="C48">
        <v>11950000</v>
      </c>
      <c r="D48">
        <v>36.859999000000002</v>
      </c>
    </row>
    <row r="49" spans="2:4">
      <c r="B49" s="39">
        <v>41200</v>
      </c>
      <c r="C49">
        <v>11950000</v>
      </c>
      <c r="D49">
        <v>37.209999000000003</v>
      </c>
    </row>
    <row r="50" spans="2:4">
      <c r="B50" s="39">
        <v>41201</v>
      </c>
      <c r="C50">
        <v>12450000</v>
      </c>
      <c r="D50">
        <v>35.699998999999998</v>
      </c>
    </row>
    <row r="51" spans="2:4">
      <c r="B51" s="39">
        <v>41202</v>
      </c>
      <c r="C51">
        <v>12450000</v>
      </c>
      <c r="D51">
        <v>35.699998999999998</v>
      </c>
    </row>
    <row r="52" spans="2:4">
      <c r="B52" s="39">
        <v>41203</v>
      </c>
      <c r="C52">
        <v>12450000</v>
      </c>
      <c r="D52">
        <v>35.699998999999998</v>
      </c>
    </row>
    <row r="53" spans="2:4">
      <c r="B53" s="39">
        <v>41204</v>
      </c>
      <c r="C53">
        <v>12450000</v>
      </c>
      <c r="D53">
        <v>35.549999</v>
      </c>
    </row>
    <row r="54" spans="2:4">
      <c r="B54" s="39">
        <v>41205</v>
      </c>
      <c r="C54">
        <v>12750000</v>
      </c>
      <c r="D54">
        <v>34.749999000000003</v>
      </c>
    </row>
    <row r="55" spans="2:4">
      <c r="B55" s="39">
        <v>41206</v>
      </c>
      <c r="C55">
        <v>12750000</v>
      </c>
      <c r="D55">
        <v>34.929999000000002</v>
      </c>
    </row>
    <row r="56" spans="2:4">
      <c r="B56" s="39">
        <v>41207</v>
      </c>
      <c r="C56">
        <v>12750000</v>
      </c>
      <c r="D56">
        <v>34.979998999999999</v>
      </c>
    </row>
    <row r="57" spans="2:4">
      <c r="B57" s="39">
        <v>41208</v>
      </c>
      <c r="C57">
        <v>12750000</v>
      </c>
      <c r="D57">
        <v>34.719999000000001</v>
      </c>
    </row>
    <row r="58" spans="2:4">
      <c r="B58" s="39">
        <v>41209</v>
      </c>
      <c r="C58">
        <v>12750000</v>
      </c>
      <c r="D58">
        <v>34.719999000000001</v>
      </c>
    </row>
    <row r="59" spans="2:4">
      <c r="B59" s="39">
        <v>41210</v>
      </c>
      <c r="C59">
        <v>12750000</v>
      </c>
      <c r="D59">
        <v>34.719999000000001</v>
      </c>
    </row>
    <row r="60" spans="2:4">
      <c r="B60" s="39">
        <v>41211</v>
      </c>
      <c r="C60">
        <v>12750000</v>
      </c>
      <c r="D60">
        <v>34.719999000000001</v>
      </c>
    </row>
    <row r="61" spans="2:4">
      <c r="B61" s="39">
        <v>41212</v>
      </c>
      <c r="C61">
        <v>12750000</v>
      </c>
      <c r="D61">
        <v>34.719999000000001</v>
      </c>
    </row>
    <row r="62" spans="2:4">
      <c r="B62" s="39">
        <v>41213</v>
      </c>
      <c r="C62">
        <v>12750000</v>
      </c>
      <c r="D62">
        <v>34.929999000000002</v>
      </c>
    </row>
    <row r="63" spans="2:4">
      <c r="B63" s="39">
        <v>41214</v>
      </c>
      <c r="C63">
        <v>12750000</v>
      </c>
      <c r="D63">
        <v>35.199998999999998</v>
      </c>
    </row>
    <row r="64" spans="2:4">
      <c r="B64" s="39">
        <v>41215</v>
      </c>
      <c r="C64">
        <v>13250000</v>
      </c>
      <c r="D64">
        <v>32.679999000000002</v>
      </c>
    </row>
    <row r="65" spans="2:4">
      <c r="B65" s="39">
        <v>41216</v>
      </c>
      <c r="C65">
        <v>13250000</v>
      </c>
      <c r="D65">
        <v>32.679999000000002</v>
      </c>
    </row>
    <row r="66" spans="2:4">
      <c r="B66" s="39">
        <v>41217</v>
      </c>
      <c r="C66">
        <v>13250000</v>
      </c>
      <c r="D66">
        <v>32.679999000000002</v>
      </c>
    </row>
    <row r="67" spans="2:4">
      <c r="B67" s="39">
        <v>41218</v>
      </c>
      <c r="C67">
        <v>13250000</v>
      </c>
      <c r="D67">
        <v>32.799999</v>
      </c>
    </row>
    <row r="68" spans="2:4">
      <c r="B68" s="39">
        <v>41219</v>
      </c>
      <c r="C68">
        <v>13250000</v>
      </c>
      <c r="D68">
        <v>33.119999</v>
      </c>
    </row>
    <row r="69" spans="2:4">
      <c r="B69" s="39">
        <v>41220</v>
      </c>
      <c r="C69">
        <v>13250000</v>
      </c>
      <c r="D69">
        <v>31.999998999999999</v>
      </c>
    </row>
    <row r="70" spans="2:4">
      <c r="B70" s="39">
        <v>41221</v>
      </c>
      <c r="C70">
        <v>13250000</v>
      </c>
      <c r="D70">
        <v>31.409998999999999</v>
      </c>
    </row>
    <row r="71" spans="2:4">
      <c r="B71" s="39">
        <v>41222</v>
      </c>
      <c r="C71">
        <v>13365903</v>
      </c>
      <c r="D71">
        <v>32.169998999999997</v>
      </c>
    </row>
    <row r="72" spans="2:4">
      <c r="B72" s="39">
        <v>41223</v>
      </c>
      <c r="C72">
        <v>13365903</v>
      </c>
      <c r="D72">
        <v>32.169998999999997</v>
      </c>
    </row>
    <row r="73" spans="2:4">
      <c r="B73" s="39">
        <v>41224</v>
      </c>
      <c r="C73">
        <v>13365903</v>
      </c>
      <c r="D73">
        <v>32.169998999999997</v>
      </c>
    </row>
    <row r="74" spans="2:4">
      <c r="B74" s="39">
        <v>41225</v>
      </c>
      <c r="C74">
        <v>13365903</v>
      </c>
      <c r="D74">
        <v>31.979998999999999</v>
      </c>
    </row>
    <row r="75" spans="2:4">
      <c r="B75" s="39">
        <v>41226</v>
      </c>
      <c r="C75">
        <v>13665903</v>
      </c>
      <c r="D75">
        <v>31.349999</v>
      </c>
    </row>
    <row r="76" spans="2:4">
      <c r="B76" s="39">
        <v>41227</v>
      </c>
      <c r="C76">
        <v>13865903</v>
      </c>
      <c r="D76">
        <v>30.679998999999999</v>
      </c>
    </row>
    <row r="77" spans="2:4">
      <c r="B77" s="39">
        <v>41228</v>
      </c>
      <c r="C77">
        <v>13865903</v>
      </c>
      <c r="D77">
        <v>31.239999000000001</v>
      </c>
    </row>
    <row r="78" spans="2:4">
      <c r="B78" s="39">
        <v>41229</v>
      </c>
      <c r="C78">
        <v>13865903</v>
      </c>
      <c r="D78">
        <v>31.799999</v>
      </c>
    </row>
    <row r="79" spans="2:4">
      <c r="B79" s="39">
        <v>41230</v>
      </c>
      <c r="C79">
        <v>13865903</v>
      </c>
      <c r="D79">
        <v>31.799999</v>
      </c>
    </row>
    <row r="80" spans="2:4">
      <c r="B80" s="39">
        <v>41231</v>
      </c>
      <c r="C80">
        <v>13865903</v>
      </c>
      <c r="D80">
        <v>31.799999</v>
      </c>
    </row>
    <row r="81" spans="2:4">
      <c r="B81" s="39">
        <v>41232</v>
      </c>
      <c r="C81">
        <v>13865903</v>
      </c>
      <c r="D81">
        <v>32.389999000000003</v>
      </c>
    </row>
    <row r="82" spans="2:4">
      <c r="B82" s="39">
        <v>41233</v>
      </c>
      <c r="C82">
        <v>13865903</v>
      </c>
      <c r="D82">
        <v>32.409998999999999</v>
      </c>
    </row>
    <row r="83" spans="2:4">
      <c r="B83" s="39">
        <v>41234</v>
      </c>
      <c r="C83">
        <v>14365903</v>
      </c>
      <c r="D83">
        <v>32.669998999999997</v>
      </c>
    </row>
    <row r="84" spans="2:4">
      <c r="B84" s="39">
        <v>41235</v>
      </c>
      <c r="C84">
        <v>14365903</v>
      </c>
      <c r="D84">
        <v>32.669998999999997</v>
      </c>
    </row>
    <row r="85" spans="2:4">
      <c r="B85" s="39">
        <v>41236</v>
      </c>
      <c r="C85">
        <v>14365903</v>
      </c>
      <c r="D85">
        <v>32.829999000000001</v>
      </c>
    </row>
    <row r="86" spans="2:4">
      <c r="B86" s="39">
        <v>41237</v>
      </c>
      <c r="C86">
        <v>14365903</v>
      </c>
      <c r="D86">
        <v>32.829999000000001</v>
      </c>
    </row>
    <row r="87" spans="2:4">
      <c r="B87" s="39">
        <v>41238</v>
      </c>
      <c r="C87">
        <v>14365903</v>
      </c>
      <c r="D87">
        <v>32.829999000000001</v>
      </c>
    </row>
    <row r="88" spans="2:4">
      <c r="B88" s="39">
        <v>41239</v>
      </c>
      <c r="C88">
        <v>14365903</v>
      </c>
      <c r="D88">
        <v>32.969999000000001</v>
      </c>
    </row>
    <row r="89" spans="2:4">
      <c r="B89" s="39">
        <v>41240</v>
      </c>
      <c r="C89">
        <v>14365903</v>
      </c>
      <c r="D89">
        <v>32.489998999999997</v>
      </c>
    </row>
    <row r="90" spans="2:4">
      <c r="B90" s="39">
        <v>41241</v>
      </c>
      <c r="C90">
        <v>14365903</v>
      </c>
      <c r="D90">
        <v>32.599998999999997</v>
      </c>
    </row>
    <row r="91" spans="2:4">
      <c r="B91" s="39">
        <v>41242</v>
      </c>
      <c r="C91">
        <v>14365903</v>
      </c>
      <c r="D91">
        <v>33.349998999999997</v>
      </c>
    </row>
    <row r="92" spans="2:4">
      <c r="B92" s="39">
        <v>41243</v>
      </c>
      <c r="C92">
        <v>14365903</v>
      </c>
      <c r="D92">
        <v>33.129998999999998</v>
      </c>
    </row>
    <row r="93" spans="2:4">
      <c r="B93" s="39">
        <v>41244</v>
      </c>
      <c r="C93">
        <v>14365903</v>
      </c>
      <c r="D93">
        <v>33.129998999999998</v>
      </c>
    </row>
    <row r="94" spans="2:4">
      <c r="B94" s="39">
        <v>41245</v>
      </c>
      <c r="C94">
        <v>14365903</v>
      </c>
      <c r="D94">
        <v>33.129998999999998</v>
      </c>
    </row>
    <row r="95" spans="2:4">
      <c r="B95" s="39">
        <v>41246</v>
      </c>
      <c r="C95">
        <v>14365903</v>
      </c>
      <c r="D95">
        <v>33.119999</v>
      </c>
    </row>
    <row r="96" spans="2:4">
      <c r="B96" s="39">
        <v>41247</v>
      </c>
      <c r="C96">
        <v>14365903</v>
      </c>
      <c r="D96">
        <v>33.319999000000003</v>
      </c>
    </row>
    <row r="97" spans="2:4">
      <c r="B97" s="39">
        <v>41248</v>
      </c>
      <c r="C97">
        <v>14365903</v>
      </c>
      <c r="D97">
        <v>33.779998999999997</v>
      </c>
    </row>
    <row r="98" spans="2:4">
      <c r="B98" s="39">
        <v>41249</v>
      </c>
      <c r="C98">
        <v>14365903</v>
      </c>
      <c r="D98">
        <v>33.259999000000001</v>
      </c>
    </row>
    <row r="99" spans="2:4">
      <c r="B99" s="39">
        <v>41250</v>
      </c>
      <c r="C99">
        <v>14365903</v>
      </c>
      <c r="D99">
        <v>34.129998999999998</v>
      </c>
    </row>
    <row r="100" spans="2:4">
      <c r="B100" s="39">
        <v>41251</v>
      </c>
      <c r="C100">
        <v>14365903</v>
      </c>
      <c r="D100">
        <v>34.129998999999998</v>
      </c>
    </row>
    <row r="101" spans="2:4">
      <c r="B101" s="39">
        <v>41252</v>
      </c>
      <c r="C101">
        <v>14365903</v>
      </c>
      <c r="D101">
        <v>34.129998999999998</v>
      </c>
    </row>
    <row r="102" spans="2:4">
      <c r="B102" s="39">
        <v>41253</v>
      </c>
      <c r="C102">
        <v>14365903</v>
      </c>
      <c r="D102">
        <v>33.359999000000002</v>
      </c>
    </row>
    <row r="103" spans="2:4">
      <c r="B103" s="39">
        <v>41254</v>
      </c>
      <c r="C103">
        <v>15865903</v>
      </c>
      <c r="D103">
        <v>35.259999000000001</v>
      </c>
    </row>
    <row r="104" spans="2:4">
      <c r="B104" s="39">
        <v>41255</v>
      </c>
      <c r="C104">
        <v>15865903</v>
      </c>
      <c r="D104">
        <v>34.849998999999997</v>
      </c>
    </row>
    <row r="105" spans="2:4">
      <c r="B105" s="39">
        <v>41256</v>
      </c>
      <c r="C105">
        <v>15865903</v>
      </c>
      <c r="D105">
        <v>34.239998999999997</v>
      </c>
    </row>
    <row r="106" spans="2:4">
      <c r="B106" s="39">
        <v>41257</v>
      </c>
      <c r="C106">
        <v>15865903</v>
      </c>
      <c r="D106">
        <v>33.939999</v>
      </c>
    </row>
    <row r="107" spans="2:4">
      <c r="B107" s="39">
        <v>41258</v>
      </c>
      <c r="C107">
        <v>15865903</v>
      </c>
      <c r="D107">
        <v>33.939999</v>
      </c>
    </row>
    <row r="108" spans="2:4">
      <c r="B108" s="39">
        <v>41259</v>
      </c>
      <c r="C108">
        <v>15865903</v>
      </c>
      <c r="D108">
        <v>33.939999</v>
      </c>
    </row>
    <row r="109" spans="2:4">
      <c r="B109" s="39">
        <v>41260</v>
      </c>
      <c r="C109">
        <v>15865903</v>
      </c>
      <c r="D109">
        <v>34.950000000000003</v>
      </c>
    </row>
    <row r="110" spans="2:4">
      <c r="B110" s="39">
        <v>41261</v>
      </c>
      <c r="C110">
        <v>15865903</v>
      </c>
      <c r="D110">
        <v>35.499999000000003</v>
      </c>
    </row>
    <row r="111" spans="2:4">
      <c r="B111" s="39">
        <v>41262</v>
      </c>
      <c r="C111">
        <v>14865903</v>
      </c>
      <c r="D111">
        <v>34.89</v>
      </c>
    </row>
    <row r="112" spans="2:4">
      <c r="B112" s="39">
        <v>41263</v>
      </c>
      <c r="C112">
        <v>14865903</v>
      </c>
      <c r="D112">
        <v>35.53</v>
      </c>
    </row>
    <row r="113" spans="2:4">
      <c r="B113" s="39">
        <v>41264</v>
      </c>
      <c r="C113">
        <v>14865903</v>
      </c>
      <c r="D113">
        <v>34.74</v>
      </c>
    </row>
    <row r="114" spans="2:4">
      <c r="B114" s="39">
        <v>41265</v>
      </c>
      <c r="C114">
        <v>14865903</v>
      </c>
      <c r="D114">
        <v>34.74</v>
      </c>
    </row>
    <row r="115" spans="2:4">
      <c r="B115" s="39">
        <v>41266</v>
      </c>
      <c r="C115">
        <v>14865903</v>
      </c>
      <c r="D115">
        <v>34.74</v>
      </c>
    </row>
    <row r="116" spans="2:4">
      <c r="B116" s="39">
        <v>41267</v>
      </c>
      <c r="C116">
        <v>14865903</v>
      </c>
      <c r="D116">
        <v>35.200000000000003</v>
      </c>
    </row>
    <row r="117" spans="2:4">
      <c r="B117" s="39">
        <v>41268</v>
      </c>
      <c r="C117">
        <v>14865903</v>
      </c>
      <c r="D117">
        <v>35.200000000000003</v>
      </c>
    </row>
    <row r="118" spans="2:4">
      <c r="B118" s="39">
        <v>41269</v>
      </c>
      <c r="C118">
        <v>14865903</v>
      </c>
      <c r="D118">
        <v>35.35</v>
      </c>
    </row>
    <row r="119" spans="2:4">
      <c r="B119" s="39">
        <v>41270</v>
      </c>
      <c r="C119">
        <v>14865903</v>
      </c>
      <c r="D119">
        <v>34.969999000000001</v>
      </c>
    </row>
    <row r="120" spans="2:4">
      <c r="B120" s="39">
        <v>41271</v>
      </c>
      <c r="C120">
        <v>14865903</v>
      </c>
      <c r="D120">
        <v>34.579999000000001</v>
      </c>
    </row>
    <row r="121" spans="2:4">
      <c r="B121" s="39">
        <v>41272</v>
      </c>
      <c r="C121">
        <v>14865903</v>
      </c>
      <c r="D121">
        <v>34.579999000000001</v>
      </c>
    </row>
    <row r="122" spans="2:4">
      <c r="B122" s="39">
        <v>41273</v>
      </c>
      <c r="C122">
        <v>14865903</v>
      </c>
      <c r="D122">
        <v>34.579999000000001</v>
      </c>
    </row>
    <row r="123" spans="2:4">
      <c r="B123" s="39">
        <v>41274</v>
      </c>
      <c r="C123">
        <v>14865903</v>
      </c>
      <c r="D123">
        <v>35.299999</v>
      </c>
    </row>
    <row r="124" spans="2:4">
      <c r="B124" s="39">
        <v>41275</v>
      </c>
      <c r="C124">
        <v>14865903</v>
      </c>
      <c r="D124">
        <v>35.299999</v>
      </c>
    </row>
    <row r="125" spans="2:4">
      <c r="B125" s="39">
        <v>41276</v>
      </c>
      <c r="C125">
        <v>14865903</v>
      </c>
      <c r="D125">
        <v>36.479998999999999</v>
      </c>
    </row>
    <row r="126" spans="2:4">
      <c r="B126" s="39">
        <v>41277</v>
      </c>
      <c r="C126">
        <v>14865903</v>
      </c>
      <c r="D126">
        <v>36.179999000000002</v>
      </c>
    </row>
    <row r="127" spans="2:4">
      <c r="B127" s="39">
        <v>41278</v>
      </c>
      <c r="C127">
        <v>14865903</v>
      </c>
      <c r="D127">
        <v>36.299999</v>
      </c>
    </row>
    <row r="128" spans="2:4">
      <c r="B128" s="39">
        <v>41279</v>
      </c>
      <c r="C128">
        <v>14865903</v>
      </c>
      <c r="D128">
        <v>36.299999</v>
      </c>
    </row>
    <row r="129" spans="2:4">
      <c r="B129" s="39">
        <v>41280</v>
      </c>
      <c r="C129">
        <v>14865903</v>
      </c>
      <c r="D129">
        <v>36.299999</v>
      </c>
    </row>
    <row r="130" spans="2:4">
      <c r="B130" s="39">
        <v>41281</v>
      </c>
      <c r="C130">
        <v>14865903</v>
      </c>
      <c r="D130">
        <v>35.929999000000002</v>
      </c>
    </row>
    <row r="131" spans="2:4">
      <c r="B131" s="39">
        <v>41282</v>
      </c>
      <c r="C131">
        <v>14865903</v>
      </c>
      <c r="D131">
        <v>35.649999000000001</v>
      </c>
    </row>
    <row r="132" spans="2:4">
      <c r="B132" s="39">
        <v>41283</v>
      </c>
      <c r="C132">
        <v>14865903</v>
      </c>
      <c r="D132">
        <v>35.759999000000001</v>
      </c>
    </row>
    <row r="133" spans="2:4">
      <c r="B133" s="39">
        <v>41284</v>
      </c>
      <c r="C133">
        <v>14865903</v>
      </c>
      <c r="D133">
        <v>35.799999</v>
      </c>
    </row>
    <row r="134" spans="2:4">
      <c r="B134" s="39">
        <v>41285</v>
      </c>
      <c r="C134">
        <v>14865903</v>
      </c>
      <c r="D134">
        <v>35.229998999999999</v>
      </c>
    </row>
    <row r="135" spans="2:4">
      <c r="B135" s="39">
        <v>41286</v>
      </c>
      <c r="C135">
        <v>14865903</v>
      </c>
      <c r="D135">
        <v>35.229998999999999</v>
      </c>
    </row>
    <row r="136" spans="2:4">
      <c r="B136" s="39">
        <v>41287</v>
      </c>
      <c r="C136">
        <v>14865903</v>
      </c>
      <c r="D136">
        <v>35.229998999999999</v>
      </c>
    </row>
    <row r="137" spans="2:4">
      <c r="B137" s="39">
        <v>41288</v>
      </c>
      <c r="C137">
        <v>14865903</v>
      </c>
      <c r="D137">
        <v>35.049999</v>
      </c>
    </row>
    <row r="138" spans="2:4">
      <c r="B138" s="39">
        <v>41289</v>
      </c>
      <c r="C138">
        <v>14865903</v>
      </c>
      <c r="D138">
        <v>34.839998999999999</v>
      </c>
    </row>
    <row r="139" spans="2:4">
      <c r="B139" s="39">
        <v>41290</v>
      </c>
      <c r="C139">
        <v>14865903</v>
      </c>
      <c r="D139">
        <v>35.539999000000002</v>
      </c>
    </row>
    <row r="140" spans="2:4">
      <c r="B140" s="39">
        <v>41291</v>
      </c>
      <c r="C140">
        <v>14865903</v>
      </c>
      <c r="D140">
        <v>35.209999000000003</v>
      </c>
    </row>
    <row r="141" spans="2:4">
      <c r="B141" s="39">
        <v>41292</v>
      </c>
      <c r="C141">
        <v>14865903</v>
      </c>
      <c r="D141">
        <v>35.089998999999999</v>
      </c>
    </row>
    <row r="142" spans="2:4">
      <c r="B142" s="39">
        <v>41293</v>
      </c>
      <c r="C142">
        <v>14865903</v>
      </c>
      <c r="D142">
        <v>35.089998999999999</v>
      </c>
    </row>
    <row r="143" spans="2:4">
      <c r="B143" s="39">
        <v>41294</v>
      </c>
      <c r="C143">
        <v>14865903</v>
      </c>
      <c r="D143">
        <v>35.089998999999999</v>
      </c>
    </row>
    <row r="144" spans="2:4">
      <c r="B144" s="39">
        <v>41295</v>
      </c>
      <c r="C144">
        <v>14865903</v>
      </c>
      <c r="D144">
        <v>35.089998999999999</v>
      </c>
    </row>
    <row r="145" spans="2:4">
      <c r="B145" s="39">
        <v>41296</v>
      </c>
      <c r="C145">
        <v>14865903</v>
      </c>
      <c r="D145">
        <v>35.909999999999997</v>
      </c>
    </row>
    <row r="146" spans="2:4">
      <c r="B146" s="39">
        <v>41297</v>
      </c>
      <c r="C146">
        <v>14865903</v>
      </c>
      <c r="D146">
        <v>36.459999000000003</v>
      </c>
    </row>
    <row r="147" spans="2:4">
      <c r="B147" s="39">
        <v>41298</v>
      </c>
      <c r="C147">
        <v>14865903</v>
      </c>
      <c r="D147">
        <v>36.599998999999997</v>
      </c>
    </row>
    <row r="148" spans="2:4">
      <c r="B148" s="39">
        <v>41299</v>
      </c>
      <c r="C148">
        <v>14865903</v>
      </c>
      <c r="D148">
        <v>36.699998999999998</v>
      </c>
    </row>
    <row r="149" spans="2:4">
      <c r="B149" s="39">
        <v>41300</v>
      </c>
      <c r="C149">
        <v>14865903</v>
      </c>
      <c r="D149">
        <v>36.699998999999998</v>
      </c>
    </row>
    <row r="150" spans="2:4">
      <c r="B150" s="39">
        <v>41301</v>
      </c>
      <c r="C150">
        <v>14865903</v>
      </c>
      <c r="D150">
        <v>36.699998999999998</v>
      </c>
    </row>
    <row r="151" spans="2:4">
      <c r="B151" s="39">
        <v>41302</v>
      </c>
      <c r="C151">
        <v>14865811</v>
      </c>
      <c r="D151">
        <v>37.299999</v>
      </c>
    </row>
    <row r="152" spans="2:4">
      <c r="B152" s="39">
        <v>41303</v>
      </c>
      <c r="C152">
        <v>14000000</v>
      </c>
      <c r="D152">
        <v>37.819999000000003</v>
      </c>
    </row>
    <row r="153" spans="2:4">
      <c r="B153" s="39">
        <v>41304</v>
      </c>
      <c r="C153">
        <v>14000000</v>
      </c>
      <c r="D153">
        <v>37.669998999999997</v>
      </c>
    </row>
    <row r="154" spans="2:4">
      <c r="B154" s="39">
        <v>41305</v>
      </c>
      <c r="C154">
        <v>14000000</v>
      </c>
      <c r="D154">
        <v>37.829999000000001</v>
      </c>
    </row>
    <row r="155" spans="2:4">
      <c r="B155" s="39">
        <v>41306</v>
      </c>
      <c r="C155">
        <v>13500000</v>
      </c>
      <c r="D155">
        <v>38.859999000000002</v>
      </c>
    </row>
    <row r="156" spans="2:4">
      <c r="B156" s="39">
        <v>41307</v>
      </c>
      <c r="C156">
        <v>13500000</v>
      </c>
      <c r="D156">
        <v>38.859999000000002</v>
      </c>
    </row>
    <row r="157" spans="2:4">
      <c r="B157" s="39">
        <v>41308</v>
      </c>
      <c r="C157">
        <v>13500000</v>
      </c>
      <c r="D157">
        <v>38.859999000000002</v>
      </c>
    </row>
    <row r="158" spans="2:4">
      <c r="B158" s="39">
        <v>41309</v>
      </c>
      <c r="C158">
        <v>13500000</v>
      </c>
      <c r="D158">
        <v>38.189999</v>
      </c>
    </row>
    <row r="159" spans="2:4">
      <c r="B159" s="39">
        <v>41310</v>
      </c>
      <c r="C159">
        <v>13500000</v>
      </c>
      <c r="D159">
        <v>38.749999000000003</v>
      </c>
    </row>
    <row r="160" spans="2:4">
      <c r="B160" s="39">
        <v>41311</v>
      </c>
      <c r="C160">
        <v>13500000</v>
      </c>
      <c r="D160">
        <v>38.749999000000003</v>
      </c>
    </row>
    <row r="161" spans="2:4">
      <c r="B161" s="39">
        <v>41312</v>
      </c>
      <c r="C161">
        <v>13500000</v>
      </c>
      <c r="D161">
        <v>38.639999000000003</v>
      </c>
    </row>
    <row r="162" spans="2:4">
      <c r="B162" s="39">
        <v>41313</v>
      </c>
      <c r="C162">
        <v>13500000</v>
      </c>
      <c r="D162">
        <v>38.789999000000002</v>
      </c>
    </row>
    <row r="163" spans="2:4">
      <c r="B163" s="39">
        <v>41314</v>
      </c>
      <c r="C163">
        <v>13500000</v>
      </c>
      <c r="D163">
        <v>38.789999000000002</v>
      </c>
    </row>
    <row r="164" spans="2:4">
      <c r="B164" s="39">
        <v>41315</v>
      </c>
      <c r="C164">
        <v>13500000</v>
      </c>
      <c r="D164">
        <v>38.789999000000002</v>
      </c>
    </row>
    <row r="165" spans="2:4">
      <c r="B165" s="39">
        <v>41316</v>
      </c>
      <c r="C165">
        <v>13500000</v>
      </c>
      <c r="D165">
        <v>39.449998999999998</v>
      </c>
    </row>
    <row r="166" spans="2:4">
      <c r="B166" s="39">
        <v>41317</v>
      </c>
      <c r="C166">
        <v>13500000</v>
      </c>
      <c r="D166">
        <v>38.629998999999998</v>
      </c>
    </row>
    <row r="167" spans="2:4">
      <c r="B167" s="39">
        <v>41318</v>
      </c>
      <c r="C167">
        <v>13500000</v>
      </c>
      <c r="D167">
        <v>38.869999</v>
      </c>
    </row>
    <row r="168" spans="2:4">
      <c r="B168" s="39">
        <v>41319</v>
      </c>
      <c r="C168">
        <v>13500000</v>
      </c>
      <c r="D168">
        <v>39.209999000000003</v>
      </c>
    </row>
    <row r="169" spans="2:4">
      <c r="B169" s="39">
        <v>41320</v>
      </c>
      <c r="C169">
        <v>13500000</v>
      </c>
      <c r="D169">
        <v>38.349998999999997</v>
      </c>
    </row>
    <row r="170" spans="2:4">
      <c r="B170" s="39">
        <v>41321</v>
      </c>
      <c r="C170">
        <v>13500000</v>
      </c>
      <c r="D170">
        <v>38.349998999999997</v>
      </c>
    </row>
    <row r="171" spans="2:4">
      <c r="B171" s="39">
        <v>41322</v>
      </c>
      <c r="C171">
        <v>13500000</v>
      </c>
      <c r="D171">
        <v>38.349998999999997</v>
      </c>
    </row>
    <row r="172" spans="2:4">
      <c r="B172" s="39">
        <v>41323</v>
      </c>
      <c r="C172">
        <v>13500000</v>
      </c>
      <c r="D172">
        <v>38.349998999999997</v>
      </c>
    </row>
    <row r="173" spans="2:4">
      <c r="B173" s="39">
        <v>41324</v>
      </c>
      <c r="C173">
        <v>13500000</v>
      </c>
      <c r="D173">
        <v>38.599998999999997</v>
      </c>
    </row>
    <row r="174" spans="2:4">
      <c r="B174" s="39">
        <v>41325</v>
      </c>
      <c r="C174">
        <v>13500000</v>
      </c>
      <c r="D174">
        <v>37.569999000000003</v>
      </c>
    </row>
    <row r="175" spans="2:4">
      <c r="B175" s="39">
        <v>41326</v>
      </c>
      <c r="C175">
        <v>13500000</v>
      </c>
      <c r="D175">
        <v>37.279998999999997</v>
      </c>
    </row>
    <row r="176" spans="2:4">
      <c r="B176" s="39">
        <v>41327</v>
      </c>
      <c r="C176">
        <v>13200000</v>
      </c>
      <c r="D176">
        <v>38.449998999999998</v>
      </c>
    </row>
    <row r="177" spans="2:4">
      <c r="B177" s="39">
        <v>41328</v>
      </c>
      <c r="C177">
        <v>13200000</v>
      </c>
      <c r="D177">
        <v>38.449998999999998</v>
      </c>
    </row>
    <row r="178" spans="2:4">
      <c r="B178" s="39">
        <v>41329</v>
      </c>
      <c r="C178">
        <v>13200000</v>
      </c>
      <c r="D178">
        <v>38.449998999999998</v>
      </c>
    </row>
    <row r="179" spans="2:4">
      <c r="B179" s="39">
        <v>41330</v>
      </c>
      <c r="C179">
        <v>13157260</v>
      </c>
      <c r="D179">
        <v>37.059998999999998</v>
      </c>
    </row>
    <row r="180" spans="2:4">
      <c r="B180" s="39">
        <v>41331</v>
      </c>
      <c r="C180">
        <v>13157260</v>
      </c>
      <c r="D180">
        <v>37.689999</v>
      </c>
    </row>
    <row r="181" spans="2:4">
      <c r="B181" s="39">
        <v>41332</v>
      </c>
      <c r="C181">
        <v>13157260</v>
      </c>
      <c r="D181">
        <v>37.769998999999999</v>
      </c>
    </row>
    <row r="182" spans="2:4">
      <c r="B182" s="39">
        <v>41333</v>
      </c>
      <c r="C182">
        <v>13157260</v>
      </c>
      <c r="D182">
        <v>38.009999000000001</v>
      </c>
    </row>
    <row r="183" spans="2:4">
      <c r="B183" s="39">
        <v>41334</v>
      </c>
      <c r="C183">
        <v>13157260</v>
      </c>
      <c r="D183">
        <v>37.849998999999997</v>
      </c>
    </row>
    <row r="184" spans="2:4">
      <c r="B184" s="39">
        <v>41335</v>
      </c>
      <c r="C184">
        <v>13157260</v>
      </c>
      <c r="D184">
        <v>37.849998999999997</v>
      </c>
    </row>
    <row r="185" spans="2:4">
      <c r="B185" s="39">
        <v>41336</v>
      </c>
      <c r="C185">
        <v>13157260</v>
      </c>
      <c r="D185">
        <v>37.849998999999997</v>
      </c>
    </row>
    <row r="186" spans="2:4">
      <c r="B186" s="39">
        <v>41337</v>
      </c>
      <c r="C186">
        <v>13157260</v>
      </c>
      <c r="D186">
        <v>38.069999000000003</v>
      </c>
    </row>
    <row r="187" spans="2:4">
      <c r="B187" s="39">
        <v>41338</v>
      </c>
      <c r="C187">
        <v>13157260</v>
      </c>
      <c r="D187">
        <v>38.249999000000003</v>
      </c>
    </row>
    <row r="188" spans="2:4">
      <c r="B188" s="39">
        <v>41339</v>
      </c>
      <c r="C188">
        <v>13157260</v>
      </c>
      <c r="D188">
        <v>38.449998999999998</v>
      </c>
    </row>
    <row r="189" spans="2:4">
      <c r="B189" s="39">
        <v>41340</v>
      </c>
      <c r="C189">
        <v>13157260</v>
      </c>
      <c r="D189">
        <v>39.009999000000001</v>
      </c>
    </row>
    <row r="190" spans="2:4">
      <c r="B190" s="39">
        <v>41341</v>
      </c>
      <c r="C190">
        <v>13157260</v>
      </c>
      <c r="D190">
        <v>39.579999000000001</v>
      </c>
    </row>
    <row r="191" spans="2:4">
      <c r="B191" s="39">
        <v>41342</v>
      </c>
      <c r="C191">
        <v>13157260</v>
      </c>
      <c r="D191">
        <v>39.579999000000001</v>
      </c>
    </row>
    <row r="192" spans="2:4">
      <c r="B192" s="39">
        <v>41343</v>
      </c>
      <c r="C192">
        <v>13157260</v>
      </c>
      <c r="D192">
        <v>39.579999000000001</v>
      </c>
    </row>
    <row r="193" spans="2:4">
      <c r="B193" s="39">
        <v>41344</v>
      </c>
      <c r="C193">
        <v>13157260</v>
      </c>
      <c r="D193">
        <v>39.469999000000001</v>
      </c>
    </row>
    <row r="194" spans="2:4">
      <c r="B194" s="39">
        <v>41345</v>
      </c>
      <c r="C194">
        <v>13157260</v>
      </c>
      <c r="D194">
        <v>39.109999000000002</v>
      </c>
    </row>
    <row r="195" spans="2:4">
      <c r="B195" s="39">
        <v>41346</v>
      </c>
      <c r="C195">
        <v>13157260</v>
      </c>
      <c r="D195">
        <v>38.889999000000003</v>
      </c>
    </row>
    <row r="196" spans="2:4">
      <c r="B196" s="39">
        <v>41347</v>
      </c>
      <c r="C196">
        <v>13157260</v>
      </c>
      <c r="D196">
        <v>39.019998999999999</v>
      </c>
    </row>
    <row r="197" spans="2:4">
      <c r="B197" s="39">
        <v>41348</v>
      </c>
      <c r="C197">
        <v>13157260</v>
      </c>
      <c r="D197">
        <v>38.969999000000001</v>
      </c>
    </row>
    <row r="198" spans="2:4">
      <c r="B198" s="39">
        <v>41349</v>
      </c>
      <c r="C198">
        <v>13157260</v>
      </c>
      <c r="D198">
        <v>38.969999000000001</v>
      </c>
    </row>
    <row r="199" spans="2:4">
      <c r="B199" s="39">
        <v>41350</v>
      </c>
      <c r="C199">
        <v>13157260</v>
      </c>
      <c r="D199">
        <v>38.969999000000001</v>
      </c>
    </row>
    <row r="200" spans="2:4">
      <c r="B200" s="39">
        <v>41351</v>
      </c>
      <c r="C200">
        <v>13157260</v>
      </c>
      <c r="D200">
        <v>38.599998999999997</v>
      </c>
    </row>
    <row r="201" spans="2:4">
      <c r="B201" s="39">
        <v>41352</v>
      </c>
      <c r="C201">
        <v>13157260</v>
      </c>
      <c r="D201">
        <v>38.379998999999998</v>
      </c>
    </row>
    <row r="202" spans="2:4">
      <c r="B202" s="39">
        <v>41353</v>
      </c>
      <c r="C202">
        <v>13157260</v>
      </c>
      <c r="D202">
        <v>38.299999</v>
      </c>
    </row>
    <row r="203" spans="2:4">
      <c r="B203" s="39">
        <v>41354</v>
      </c>
      <c r="C203">
        <v>13157260</v>
      </c>
      <c r="D203">
        <v>37.799999</v>
      </c>
    </row>
    <row r="204" spans="2:4">
      <c r="B204" s="39">
        <v>41355</v>
      </c>
      <c r="C204">
        <v>13157260</v>
      </c>
      <c r="D204">
        <v>37.789999000000002</v>
      </c>
    </row>
    <row r="205" spans="2:4">
      <c r="B205" s="39">
        <v>41356</v>
      </c>
      <c r="C205">
        <v>13157260</v>
      </c>
      <c r="D205">
        <v>37.789999000000002</v>
      </c>
    </row>
    <row r="206" spans="2:4">
      <c r="B206" s="39">
        <v>41357</v>
      </c>
      <c r="C206">
        <v>13157260</v>
      </c>
      <c r="D206">
        <v>37.789999000000002</v>
      </c>
    </row>
    <row r="207" spans="2:4">
      <c r="B207" s="39">
        <v>41358</v>
      </c>
      <c r="C207">
        <v>13157260</v>
      </c>
      <c r="D207">
        <v>37.699998999999998</v>
      </c>
    </row>
    <row r="208" spans="2:4">
      <c r="B208" s="39">
        <v>41359</v>
      </c>
      <c r="C208">
        <v>13157260</v>
      </c>
      <c r="D208">
        <v>38.439999</v>
      </c>
    </row>
    <row r="209" spans="2:4">
      <c r="B209" s="39">
        <v>41360</v>
      </c>
      <c r="C209">
        <v>13157260</v>
      </c>
      <c r="D209">
        <v>38.249999000000003</v>
      </c>
    </row>
    <row r="210" spans="2:4">
      <c r="B210" s="39">
        <v>41361</v>
      </c>
      <c r="C210">
        <v>13157260</v>
      </c>
      <c r="D210">
        <v>38.819999000000003</v>
      </c>
    </row>
    <row r="211" spans="2:4">
      <c r="B211" s="39">
        <v>41362</v>
      </c>
      <c r="C211">
        <v>13157260</v>
      </c>
      <c r="D211">
        <v>38.819999000000003</v>
      </c>
    </row>
    <row r="212" spans="2:4">
      <c r="B212" s="39">
        <v>41363</v>
      </c>
      <c r="C212">
        <v>13157260</v>
      </c>
      <c r="D212">
        <v>38.819999000000003</v>
      </c>
    </row>
    <row r="213" spans="2:4">
      <c r="B213" s="39">
        <v>41364</v>
      </c>
      <c r="C213">
        <v>13157260</v>
      </c>
      <c r="D213">
        <v>38.819999000000003</v>
      </c>
    </row>
    <row r="214" spans="2:4">
      <c r="B214" s="39">
        <v>41365</v>
      </c>
      <c r="C214">
        <v>13157260</v>
      </c>
      <c r="D214">
        <v>38.229998999999999</v>
      </c>
    </row>
    <row r="215" spans="2:4">
      <c r="B215" s="39">
        <v>41366</v>
      </c>
      <c r="C215">
        <v>13157260</v>
      </c>
      <c r="D215">
        <v>38.999999000000003</v>
      </c>
    </row>
    <row r="216" spans="2:4">
      <c r="B216" s="39">
        <v>41367</v>
      </c>
      <c r="C216">
        <v>13157260</v>
      </c>
      <c r="D216">
        <v>37.839998999999999</v>
      </c>
    </row>
    <row r="217" spans="2:4">
      <c r="B217" s="39">
        <v>41368</v>
      </c>
      <c r="C217">
        <v>13157260</v>
      </c>
      <c r="D217">
        <v>37.689999</v>
      </c>
    </row>
    <row r="218" spans="2:4">
      <c r="B218" s="39">
        <v>41369</v>
      </c>
      <c r="C218">
        <v>13157260</v>
      </c>
      <c r="D218">
        <v>38.619999</v>
      </c>
    </row>
    <row r="219" spans="2:4">
      <c r="B219" s="39">
        <v>41370</v>
      </c>
      <c r="C219">
        <v>13157260</v>
      </c>
      <c r="D219">
        <v>38.619999</v>
      </c>
    </row>
    <row r="220" spans="2:4">
      <c r="B220" s="39">
        <v>41371</v>
      </c>
      <c r="C220">
        <v>13157260</v>
      </c>
      <c r="D220">
        <v>38.619999</v>
      </c>
    </row>
    <row r="221" spans="2:4">
      <c r="B221" s="39">
        <v>41372</v>
      </c>
      <c r="C221">
        <v>13157260</v>
      </c>
      <c r="D221">
        <v>40.089998999999999</v>
      </c>
    </row>
    <row r="222" spans="2:4">
      <c r="B222" s="39">
        <v>41373</v>
      </c>
      <c r="C222">
        <v>13157260</v>
      </c>
      <c r="D222">
        <v>39.629998999999998</v>
      </c>
    </row>
    <row r="223" spans="2:4">
      <c r="B223" s="39">
        <v>41374</v>
      </c>
      <c r="C223">
        <v>13157260</v>
      </c>
      <c r="D223">
        <v>40.099998999999997</v>
      </c>
    </row>
    <row r="224" spans="2:4">
      <c r="B224" s="39">
        <v>41375</v>
      </c>
      <c r="C224">
        <v>13157260</v>
      </c>
      <c r="D224">
        <v>40.439999</v>
      </c>
    </row>
    <row r="225" spans="2:4">
      <c r="B225" s="39">
        <v>41376</v>
      </c>
      <c r="C225">
        <v>13157260</v>
      </c>
      <c r="D225">
        <v>40.129998999999998</v>
      </c>
    </row>
    <row r="226" spans="2:4">
      <c r="B226" s="39">
        <v>41377</v>
      </c>
      <c r="C226">
        <v>13157260</v>
      </c>
      <c r="D226">
        <v>40.129998999999998</v>
      </c>
    </row>
    <row r="227" spans="2:4">
      <c r="B227" s="39">
        <v>41378</v>
      </c>
      <c r="C227">
        <v>13157260</v>
      </c>
      <c r="D227">
        <v>40.129998999999998</v>
      </c>
    </row>
    <row r="228" spans="2:4">
      <c r="B228" s="39">
        <v>41379</v>
      </c>
      <c r="C228">
        <v>13157260</v>
      </c>
      <c r="D228">
        <v>38.579999000000001</v>
      </c>
    </row>
    <row r="229" spans="2:4">
      <c r="B229" s="39">
        <v>41380</v>
      </c>
      <c r="C229">
        <v>13157260</v>
      </c>
      <c r="D229">
        <v>39.559998999999998</v>
      </c>
    </row>
    <row r="230" spans="2:4">
      <c r="B230" s="39">
        <v>41381</v>
      </c>
      <c r="C230">
        <v>13157260</v>
      </c>
      <c r="D230">
        <v>38.559998999999998</v>
      </c>
    </row>
    <row r="231" spans="2:4">
      <c r="B231" s="39">
        <v>41382</v>
      </c>
      <c r="C231">
        <v>13157260</v>
      </c>
      <c r="D231">
        <v>38.339998999999999</v>
      </c>
    </row>
    <row r="232" spans="2:4">
      <c r="B232" s="39">
        <v>41383</v>
      </c>
      <c r="C232">
        <v>13157260</v>
      </c>
      <c r="D232">
        <v>38.879998999999998</v>
      </c>
    </row>
    <row r="233" spans="2:4">
      <c r="B233" s="39">
        <v>41384</v>
      </c>
      <c r="C233">
        <v>13157260</v>
      </c>
      <c r="D233">
        <v>38.879998999999998</v>
      </c>
    </row>
    <row r="234" spans="2:4">
      <c r="B234" s="39">
        <v>41385</v>
      </c>
      <c r="C234">
        <v>13157260</v>
      </c>
      <c r="D234">
        <v>38.879998999999998</v>
      </c>
    </row>
    <row r="235" spans="2:4">
      <c r="B235" s="39">
        <v>41386</v>
      </c>
      <c r="C235">
        <v>13157260</v>
      </c>
      <c r="D235">
        <v>38.609999000000002</v>
      </c>
    </row>
    <row r="236" spans="2:4">
      <c r="B236" s="39">
        <v>41387</v>
      </c>
      <c r="C236">
        <v>13157260</v>
      </c>
      <c r="D236">
        <v>40.619999999999997</v>
      </c>
    </row>
    <row r="237" spans="2:4">
      <c r="B237" s="39">
        <v>41388</v>
      </c>
      <c r="C237">
        <v>12757260</v>
      </c>
      <c r="D237">
        <v>41.599998999999997</v>
      </c>
    </row>
    <row r="238" spans="2:4">
      <c r="B238" s="39">
        <v>41389</v>
      </c>
      <c r="C238">
        <v>12657260</v>
      </c>
      <c r="D238">
        <v>42.279998999999997</v>
      </c>
    </row>
    <row r="239" spans="2:4">
      <c r="B239" s="39">
        <v>41390</v>
      </c>
      <c r="C239">
        <v>12657260</v>
      </c>
      <c r="D239">
        <v>40.869999999999997</v>
      </c>
    </row>
    <row r="240" spans="2:4">
      <c r="B240" s="39">
        <v>41391</v>
      </c>
      <c r="C240">
        <v>12657260</v>
      </c>
      <c r="D240">
        <v>40.869999999999997</v>
      </c>
    </row>
    <row r="241" spans="2:4">
      <c r="B241" s="39">
        <v>41392</v>
      </c>
      <c r="C241">
        <v>12657260</v>
      </c>
      <c r="D241">
        <v>40.869999999999997</v>
      </c>
    </row>
    <row r="242" spans="2:4">
      <c r="B242" s="39">
        <v>41393</v>
      </c>
      <c r="C242">
        <v>12657260</v>
      </c>
      <c r="D242">
        <v>41.309998999999998</v>
      </c>
    </row>
    <row r="243" spans="2:4">
      <c r="B243" s="39">
        <v>41394</v>
      </c>
      <c r="C243">
        <v>12657260</v>
      </c>
      <c r="D243">
        <v>41.419998999999997</v>
      </c>
    </row>
    <row r="244" spans="2:4">
      <c r="B244" s="39">
        <v>41395</v>
      </c>
      <c r="C244">
        <v>12657260</v>
      </c>
      <c r="D244">
        <v>41.189999</v>
      </c>
    </row>
    <row r="245" spans="2:4">
      <c r="B245" s="39">
        <v>41396</v>
      </c>
      <c r="C245">
        <v>12657260</v>
      </c>
      <c r="D245">
        <v>42.129998999999998</v>
      </c>
    </row>
    <row r="246" spans="2:4">
      <c r="B246" s="39">
        <v>41397</v>
      </c>
      <c r="C246">
        <v>12000000</v>
      </c>
      <c r="D246">
        <v>44.519998999999999</v>
      </c>
    </row>
    <row r="247" spans="2:4">
      <c r="B247" s="39">
        <v>41398</v>
      </c>
      <c r="C247">
        <v>12000000</v>
      </c>
      <c r="D247">
        <v>44.519998999999999</v>
      </c>
    </row>
    <row r="248" spans="2:4">
      <c r="B248" s="39">
        <v>41399</v>
      </c>
      <c r="C248">
        <v>12000000</v>
      </c>
      <c r="D248">
        <v>44.519998999999999</v>
      </c>
    </row>
    <row r="249" spans="2:4">
      <c r="B249" s="39">
        <v>41400</v>
      </c>
      <c r="C249">
        <v>12000000</v>
      </c>
      <c r="D249">
        <v>45.479998999999999</v>
      </c>
    </row>
    <row r="250" spans="2:4">
      <c r="B250" s="39">
        <v>41401</v>
      </c>
      <c r="C250">
        <v>12000000</v>
      </c>
      <c r="D250">
        <v>44.599998999999997</v>
      </c>
    </row>
    <row r="251" spans="2:4">
      <c r="B251" s="39">
        <v>41402</v>
      </c>
      <c r="C251">
        <v>12000000</v>
      </c>
      <c r="D251">
        <v>44.349998999999997</v>
      </c>
    </row>
    <row r="252" spans="2:4">
      <c r="B252" s="39">
        <v>41403</v>
      </c>
      <c r="C252">
        <v>12000000</v>
      </c>
      <c r="D252">
        <v>44.069999000000003</v>
      </c>
    </row>
    <row r="253" spans="2:4">
      <c r="B253" s="39">
        <v>41404</v>
      </c>
      <c r="C253">
        <v>12000000</v>
      </c>
      <c r="D253">
        <v>44.179999000000002</v>
      </c>
    </row>
    <row r="254" spans="2:4">
      <c r="B254" s="39">
        <v>41405</v>
      </c>
      <c r="C254">
        <v>12000000</v>
      </c>
      <c r="D254">
        <v>44.179999000000002</v>
      </c>
    </row>
    <row r="255" spans="2:4">
      <c r="B255" s="39">
        <v>41406</v>
      </c>
      <c r="C255">
        <v>12000000</v>
      </c>
      <c r="D255">
        <v>44.179999000000002</v>
      </c>
    </row>
    <row r="256" spans="2:4">
      <c r="B256" s="39">
        <v>41407</v>
      </c>
      <c r="C256">
        <v>12000000</v>
      </c>
      <c r="D256">
        <v>44.639999000000003</v>
      </c>
    </row>
    <row r="257" spans="2:4">
      <c r="B257" s="39">
        <v>41408</v>
      </c>
      <c r="C257">
        <v>12000000</v>
      </c>
      <c r="D257">
        <v>46.079999000000008</v>
      </c>
    </row>
    <row r="258" spans="2:4">
      <c r="B258" s="39">
        <v>41409</v>
      </c>
      <c r="C258">
        <v>11945789</v>
      </c>
      <c r="D258">
        <v>45.579999000000001</v>
      </c>
    </row>
    <row r="259" spans="2:4">
      <c r="B259" s="39">
        <v>41410</v>
      </c>
      <c r="C259">
        <v>11945789</v>
      </c>
      <c r="D259">
        <v>44.909998999999999</v>
      </c>
    </row>
    <row r="260" spans="2:4">
      <c r="B260" s="39">
        <v>41411</v>
      </c>
      <c r="C260">
        <v>11945789</v>
      </c>
      <c r="D260">
        <v>45.229998999999999</v>
      </c>
    </row>
    <row r="261" spans="2:4">
      <c r="B261" s="39">
        <v>41412</v>
      </c>
      <c r="C261">
        <v>11945789</v>
      </c>
      <c r="D261">
        <v>45.229998999999999</v>
      </c>
    </row>
    <row r="262" spans="2:4">
      <c r="B262" s="39">
        <v>41413</v>
      </c>
      <c r="C262">
        <v>11945789</v>
      </c>
      <c r="D262">
        <v>45.229998999999999</v>
      </c>
    </row>
    <row r="263" spans="2:4">
      <c r="B263" s="39">
        <v>41414</v>
      </c>
      <c r="C263">
        <v>11945789</v>
      </c>
      <c r="D263">
        <v>44.889999000000003</v>
      </c>
    </row>
    <row r="264" spans="2:4">
      <c r="B264" s="39">
        <v>41415</v>
      </c>
      <c r="C264">
        <v>11945789</v>
      </c>
      <c r="D264">
        <v>44.959999000000003</v>
      </c>
    </row>
    <row r="265" spans="2:4">
      <c r="B265" s="39">
        <v>41416</v>
      </c>
      <c r="C265">
        <v>11945789</v>
      </c>
      <c r="D265">
        <v>44.309998999999998</v>
      </c>
    </row>
    <row r="266" spans="2:4">
      <c r="B266" s="39">
        <v>41417</v>
      </c>
      <c r="C266">
        <v>11945789</v>
      </c>
      <c r="D266">
        <v>44.529998999999997</v>
      </c>
    </row>
    <row r="267" spans="2:4">
      <c r="B267" s="39">
        <v>41418</v>
      </c>
      <c r="C267">
        <v>11945789</v>
      </c>
      <c r="D267">
        <v>44.689999</v>
      </c>
    </row>
    <row r="268" spans="2:4">
      <c r="B268" s="39">
        <v>41419</v>
      </c>
      <c r="C268">
        <v>11945789</v>
      </c>
      <c r="D268">
        <v>44.689999</v>
      </c>
    </row>
    <row r="269" spans="2:4">
      <c r="B269" s="39">
        <v>41420</v>
      </c>
      <c r="C269">
        <v>11945789</v>
      </c>
      <c r="D269">
        <v>44.689999</v>
      </c>
    </row>
    <row r="270" spans="2:4">
      <c r="B270" s="39">
        <v>41421</v>
      </c>
      <c r="C270">
        <v>11945789</v>
      </c>
      <c r="D270">
        <v>44.689999</v>
      </c>
    </row>
    <row r="271" spans="2:4">
      <c r="B271" s="39">
        <v>41422</v>
      </c>
      <c r="C271">
        <v>11945789</v>
      </c>
      <c r="D271">
        <v>45.169998999999997</v>
      </c>
    </row>
    <row r="272" spans="2:4">
      <c r="B272" s="39">
        <v>41423</v>
      </c>
      <c r="C272">
        <v>11945789</v>
      </c>
      <c r="D272">
        <v>45.519998999999999</v>
      </c>
    </row>
    <row r="273" spans="2:4">
      <c r="B273" s="39">
        <v>41424</v>
      </c>
      <c r="C273">
        <v>11745789</v>
      </c>
      <c r="D273">
        <v>46.209999000000003</v>
      </c>
    </row>
    <row r="274" spans="2:4">
      <c r="B274" s="39">
        <v>41425</v>
      </c>
      <c r="C274">
        <v>11745789</v>
      </c>
      <c r="D274">
        <v>44.459999000000003</v>
      </c>
    </row>
    <row r="275" spans="2:4">
      <c r="B275" s="39">
        <v>41426</v>
      </c>
      <c r="C275">
        <v>11745789</v>
      </c>
      <c r="D275">
        <v>44.459999000000003</v>
      </c>
    </row>
    <row r="276" spans="2:4">
      <c r="B276" s="39">
        <v>41427</v>
      </c>
      <c r="C276">
        <v>11745789</v>
      </c>
      <c r="D276">
        <v>44.459999000000003</v>
      </c>
    </row>
    <row r="277" spans="2:4">
      <c r="B277" s="39">
        <v>41428</v>
      </c>
      <c r="C277">
        <v>11745789</v>
      </c>
      <c r="D277">
        <v>44.749999000000003</v>
      </c>
    </row>
    <row r="278" spans="2:4">
      <c r="B278" s="39">
        <v>41429</v>
      </c>
      <c r="C278">
        <v>11745789</v>
      </c>
      <c r="D278">
        <v>44.099998999999997</v>
      </c>
    </row>
    <row r="279" spans="2:4">
      <c r="B279" s="39">
        <v>41430</v>
      </c>
      <c r="C279">
        <v>11745789</v>
      </c>
      <c r="D279">
        <v>43.899999000000001</v>
      </c>
    </row>
    <row r="280" spans="2:4">
      <c r="B280" s="39">
        <v>41431</v>
      </c>
      <c r="C280">
        <v>11745789</v>
      </c>
      <c r="D280">
        <v>44.859999000000002</v>
      </c>
    </row>
    <row r="281" spans="2:4">
      <c r="B281" s="39">
        <v>41432</v>
      </c>
      <c r="C281">
        <v>11745789</v>
      </c>
      <c r="D281">
        <v>45.279998999999997</v>
      </c>
    </row>
    <row r="282" spans="2:4">
      <c r="B282" s="39">
        <v>41433</v>
      </c>
      <c r="C282">
        <v>11745789</v>
      </c>
      <c r="D282">
        <v>45.279998999999997</v>
      </c>
    </row>
    <row r="283" spans="2:4">
      <c r="B283" s="39">
        <v>41434</v>
      </c>
      <c r="C283">
        <v>11745789</v>
      </c>
      <c r="D283">
        <v>45.279998999999997</v>
      </c>
    </row>
    <row r="284" spans="2:4">
      <c r="B284" s="39">
        <v>41435</v>
      </c>
      <c r="C284">
        <v>11745789</v>
      </c>
      <c r="D284">
        <v>45.949998999999998</v>
      </c>
    </row>
    <row r="285" spans="2:4">
      <c r="B285" s="39">
        <v>41436</v>
      </c>
      <c r="C285">
        <v>11745789</v>
      </c>
      <c r="D285">
        <v>44.919998999999997</v>
      </c>
    </row>
    <row r="286" spans="2:4">
      <c r="B286" s="39">
        <v>41437</v>
      </c>
      <c r="C286">
        <v>11745789</v>
      </c>
      <c r="D286">
        <v>44.659998999999999</v>
      </c>
    </row>
    <row r="287" spans="2:4">
      <c r="B287" s="39">
        <v>41438</v>
      </c>
      <c r="C287">
        <v>11745789</v>
      </c>
      <c r="D287">
        <v>45.939999</v>
      </c>
    </row>
    <row r="288" spans="2:4">
      <c r="B288" s="39">
        <v>41439</v>
      </c>
      <c r="C288">
        <v>11745789</v>
      </c>
      <c r="D288">
        <v>45.379999000000005</v>
      </c>
    </row>
    <row r="289" spans="2:4">
      <c r="B289" s="39">
        <v>41440</v>
      </c>
      <c r="C289">
        <v>11745789</v>
      </c>
      <c r="D289">
        <v>45.379999000000005</v>
      </c>
    </row>
    <row r="290" spans="2:4">
      <c r="B290" s="39">
        <v>41441</v>
      </c>
      <c r="C290">
        <v>11745789</v>
      </c>
      <c r="D290">
        <v>45.379999000000005</v>
      </c>
    </row>
    <row r="291" spans="2:4">
      <c r="B291" s="39">
        <v>41442</v>
      </c>
      <c r="C291">
        <v>11745789</v>
      </c>
      <c r="D291">
        <v>45.149999000000001</v>
      </c>
    </row>
    <row r="292" spans="2:4">
      <c r="B292" s="39">
        <v>41443</v>
      </c>
      <c r="C292">
        <v>11745789</v>
      </c>
      <c r="D292">
        <v>45.139999000000003</v>
      </c>
    </row>
    <row r="293" spans="2:4">
      <c r="B293" s="39">
        <v>41444</v>
      </c>
      <c r="C293">
        <v>11745789</v>
      </c>
      <c r="D293">
        <v>44.809998999999998</v>
      </c>
    </row>
    <row r="294" spans="2:4">
      <c r="B294" s="39">
        <v>41445</v>
      </c>
      <c r="C294">
        <v>11745789</v>
      </c>
      <c r="D294">
        <v>44.269998999999999</v>
      </c>
    </row>
    <row r="295" spans="2:4">
      <c r="B295" s="39">
        <v>41446</v>
      </c>
      <c r="C295">
        <v>11745789</v>
      </c>
      <c r="D295">
        <v>43.689999</v>
      </c>
    </row>
    <row r="296" spans="2:4">
      <c r="B296" s="39">
        <v>41447</v>
      </c>
      <c r="C296">
        <v>11745789</v>
      </c>
      <c r="D296">
        <v>43.689999</v>
      </c>
    </row>
    <row r="297" spans="2:4">
      <c r="B297" s="39">
        <v>41448</v>
      </c>
      <c r="C297">
        <v>11745789</v>
      </c>
      <c r="D297">
        <v>43.689999</v>
      </c>
    </row>
    <row r="298" spans="2:4">
      <c r="B298" s="39">
        <v>41449</v>
      </c>
      <c r="C298">
        <v>11745789</v>
      </c>
      <c r="D298">
        <v>42.319999000000003</v>
      </c>
    </row>
    <row r="299" spans="2:4">
      <c r="B299" s="39">
        <v>41450</v>
      </c>
      <c r="C299">
        <v>11745789</v>
      </c>
      <c r="D299">
        <v>43.349998999999997</v>
      </c>
    </row>
    <row r="300" spans="2:4">
      <c r="B300" s="39">
        <v>41451</v>
      </c>
      <c r="C300">
        <v>11745789</v>
      </c>
      <c r="D300">
        <v>43.619999</v>
      </c>
    </row>
    <row r="301" spans="2:4">
      <c r="B301" s="39">
        <v>41452</v>
      </c>
      <c r="C301">
        <v>11745789</v>
      </c>
      <c r="D301">
        <v>44.479998999999999</v>
      </c>
    </row>
    <row r="302" spans="2:4">
      <c r="B302" s="39">
        <v>41453</v>
      </c>
      <c r="C302">
        <v>11745789</v>
      </c>
      <c r="D302">
        <v>44.699998999999998</v>
      </c>
    </row>
    <row r="303" spans="2:4">
      <c r="B303" s="39">
        <v>41454</v>
      </c>
      <c r="C303">
        <v>11745789</v>
      </c>
      <c r="D303">
        <v>44.699998999999998</v>
      </c>
    </row>
    <row r="304" spans="2:4">
      <c r="B304" s="39">
        <v>41455</v>
      </c>
      <c r="C304">
        <v>11745789</v>
      </c>
      <c r="D304">
        <v>44.699998999999998</v>
      </c>
    </row>
    <row r="305" spans="2:4">
      <c r="B305" s="39">
        <v>41456</v>
      </c>
      <c r="C305">
        <v>11745789</v>
      </c>
      <c r="D305">
        <v>45.089998999999999</v>
      </c>
    </row>
    <row r="306" spans="2:4">
      <c r="B306" s="39">
        <v>41457</v>
      </c>
      <c r="C306">
        <v>11745789</v>
      </c>
      <c r="D306">
        <v>44.889999000000003</v>
      </c>
    </row>
    <row r="307" spans="2:4">
      <c r="B307" s="39">
        <v>41458</v>
      </c>
      <c r="C307">
        <v>11745789</v>
      </c>
      <c r="D307">
        <v>44.219999000000001</v>
      </c>
    </row>
    <row r="308" spans="2:4">
      <c r="B308" s="39">
        <v>41459</v>
      </c>
      <c r="C308">
        <v>11745789</v>
      </c>
      <c r="D308">
        <v>44.219999000000001</v>
      </c>
    </row>
    <row r="309" spans="2:4">
      <c r="B309" s="39">
        <v>41460</v>
      </c>
      <c r="C309">
        <v>11745789</v>
      </c>
      <c r="D309">
        <v>45.189999</v>
      </c>
    </row>
    <row r="310" spans="2:4">
      <c r="B310" s="39">
        <v>41461</v>
      </c>
      <c r="C310">
        <v>11745789</v>
      </c>
      <c r="D310">
        <v>45.189999</v>
      </c>
    </row>
    <row r="311" spans="2:4">
      <c r="B311" s="39">
        <v>41462</v>
      </c>
      <c r="C311">
        <v>11745789</v>
      </c>
      <c r="D311">
        <v>45.189999</v>
      </c>
    </row>
    <row r="312" spans="2:4">
      <c r="B312" s="39">
        <v>41463</v>
      </c>
      <c r="C312">
        <v>11745789</v>
      </c>
      <c r="D312">
        <v>45.519998999999999</v>
      </c>
    </row>
    <row r="313" spans="2:4">
      <c r="B313" s="39">
        <v>41464</v>
      </c>
      <c r="C313">
        <v>11745789</v>
      </c>
      <c r="D313">
        <v>45.779998999999997</v>
      </c>
    </row>
    <row r="314" spans="2:4">
      <c r="B314" s="39">
        <v>41465</v>
      </c>
      <c r="C314">
        <v>11745789</v>
      </c>
      <c r="D314">
        <v>45.719999000000001</v>
      </c>
    </row>
    <row r="315" spans="2:4">
      <c r="B315" s="39">
        <v>41466</v>
      </c>
      <c r="C315">
        <v>11745789</v>
      </c>
      <c r="D315">
        <v>45.919998999999997</v>
      </c>
    </row>
    <row r="316" spans="2:4">
      <c r="B316" s="39">
        <v>41467</v>
      </c>
      <c r="C316">
        <v>11745789</v>
      </c>
      <c r="D316">
        <v>46.74</v>
      </c>
    </row>
    <row r="317" spans="2:4">
      <c r="B317" s="39">
        <v>41468</v>
      </c>
      <c r="C317">
        <v>11745789</v>
      </c>
      <c r="D317">
        <v>46.74</v>
      </c>
    </row>
    <row r="318" spans="2:4">
      <c r="B318" s="39">
        <v>41469</v>
      </c>
      <c r="C318">
        <v>11745789</v>
      </c>
      <c r="D318">
        <v>46.74</v>
      </c>
    </row>
    <row r="319" spans="2:4">
      <c r="B319" s="39">
        <v>41470</v>
      </c>
      <c r="C319">
        <v>11745789</v>
      </c>
      <c r="D319">
        <v>46.699998999999998</v>
      </c>
    </row>
    <row r="320" spans="2:4">
      <c r="B320" s="39">
        <v>41471</v>
      </c>
      <c r="C320">
        <v>11745789</v>
      </c>
      <c r="D320">
        <v>46.239998999999997</v>
      </c>
    </row>
    <row r="321" spans="2:4">
      <c r="B321" s="39">
        <v>41472</v>
      </c>
      <c r="C321">
        <v>11745789</v>
      </c>
      <c r="D321">
        <v>46.829999000000001</v>
      </c>
    </row>
    <row r="322" spans="2:4">
      <c r="B322" s="39">
        <v>41473</v>
      </c>
      <c r="C322">
        <v>11745789</v>
      </c>
      <c r="D322">
        <v>46.989998999999997</v>
      </c>
    </row>
    <row r="323" spans="2:4">
      <c r="B323" s="39">
        <v>41474</v>
      </c>
      <c r="C323">
        <v>11745789</v>
      </c>
      <c r="D323">
        <v>46.879999000000005</v>
      </c>
    </row>
    <row r="324" spans="2:4">
      <c r="B324" s="39">
        <v>41475</v>
      </c>
      <c r="C324">
        <v>11745789</v>
      </c>
      <c r="D324">
        <v>46.879999000000005</v>
      </c>
    </row>
    <row r="325" spans="2:4">
      <c r="B325" s="39">
        <v>41476</v>
      </c>
      <c r="C325">
        <v>11745789</v>
      </c>
      <c r="D325">
        <v>46.879999000000005</v>
      </c>
    </row>
    <row r="326" spans="2:4">
      <c r="B326" s="39">
        <v>41477</v>
      </c>
      <c r="C326">
        <v>11745789</v>
      </c>
      <c r="D326">
        <v>47.449998999999998</v>
      </c>
    </row>
    <row r="327" spans="2:4">
      <c r="B327" s="39">
        <v>41478</v>
      </c>
      <c r="C327">
        <v>11745789</v>
      </c>
      <c r="D327">
        <v>46.599998999999997</v>
      </c>
    </row>
    <row r="328" spans="2:4">
      <c r="B328" s="39">
        <v>41479</v>
      </c>
      <c r="C328">
        <v>11745789</v>
      </c>
      <c r="D328">
        <v>45.959999000000003</v>
      </c>
    </row>
    <row r="329" spans="2:4">
      <c r="B329" s="39">
        <v>41480</v>
      </c>
      <c r="C329">
        <v>11745789</v>
      </c>
      <c r="D329">
        <v>46.499999000000003</v>
      </c>
    </row>
    <row r="330" spans="2:4">
      <c r="B330" s="39">
        <v>41481</v>
      </c>
      <c r="C330">
        <v>11745789</v>
      </c>
      <c r="D330">
        <v>46.539999000000002</v>
      </c>
    </row>
    <row r="331" spans="2:4">
      <c r="B331" s="39">
        <v>41482</v>
      </c>
      <c r="C331">
        <v>11745789</v>
      </c>
      <c r="D331">
        <v>46.539999000000002</v>
      </c>
    </row>
    <row r="332" spans="2:4">
      <c r="B332" s="39">
        <v>41483</v>
      </c>
      <c r="C332">
        <v>11745789</v>
      </c>
      <c r="D332">
        <v>46.539999000000002</v>
      </c>
    </row>
    <row r="333" spans="2:4">
      <c r="B333" s="39">
        <v>41484</v>
      </c>
      <c r="C333">
        <v>11745789</v>
      </c>
      <c r="D333">
        <v>46.269998999999999</v>
      </c>
    </row>
    <row r="334" spans="2:4">
      <c r="B334" s="39">
        <v>41485</v>
      </c>
      <c r="C334">
        <v>11745789</v>
      </c>
      <c r="D334">
        <v>45.889999000000003</v>
      </c>
    </row>
    <row r="335" spans="2:4">
      <c r="B335" s="39">
        <v>41486</v>
      </c>
      <c r="C335">
        <v>11745789</v>
      </c>
      <c r="D335">
        <v>45.509999000000001</v>
      </c>
    </row>
    <row r="336" spans="2:4">
      <c r="B336" s="39">
        <v>41487</v>
      </c>
      <c r="C336">
        <v>11745789</v>
      </c>
      <c r="D336">
        <v>47.069999000000003</v>
      </c>
    </row>
    <row r="337" spans="2:4">
      <c r="B337" s="39">
        <v>41488</v>
      </c>
      <c r="C337">
        <v>10183161</v>
      </c>
      <c r="D337">
        <v>48.33</v>
      </c>
    </row>
    <row r="338" spans="2:4">
      <c r="B338" s="39">
        <v>41489</v>
      </c>
      <c r="C338">
        <v>10183161</v>
      </c>
      <c r="D338">
        <v>48.33</v>
      </c>
    </row>
    <row r="339" spans="2:4">
      <c r="B339" s="39">
        <v>41490</v>
      </c>
      <c r="C339">
        <v>10183161</v>
      </c>
      <c r="D339">
        <v>48.33</v>
      </c>
    </row>
    <row r="340" spans="2:4">
      <c r="B340" s="39">
        <v>41491</v>
      </c>
      <c r="C340">
        <v>9250000</v>
      </c>
      <c r="D340">
        <v>48.569999000000003</v>
      </c>
    </row>
    <row r="341" spans="2:4">
      <c r="B341" s="39">
        <v>41492</v>
      </c>
      <c r="C341">
        <v>9086234</v>
      </c>
      <c r="D341">
        <v>48.059998999999998</v>
      </c>
    </row>
    <row r="342" spans="2:4">
      <c r="B342" s="39">
        <v>41493</v>
      </c>
      <c r="C342">
        <v>9086234</v>
      </c>
      <c r="D342">
        <v>47.97</v>
      </c>
    </row>
    <row r="343" spans="2:4">
      <c r="B343" s="39">
        <v>41494</v>
      </c>
      <c r="C343">
        <v>9086234</v>
      </c>
      <c r="D343">
        <v>48.599998999999997</v>
      </c>
    </row>
    <row r="344" spans="2:4">
      <c r="B344" s="39">
        <v>41495</v>
      </c>
      <c r="C344">
        <v>9086234</v>
      </c>
      <c r="D344">
        <v>48.029998999999997</v>
      </c>
    </row>
    <row r="345" spans="2:4">
      <c r="B345" s="39">
        <v>41496</v>
      </c>
      <c r="C345">
        <v>9086234</v>
      </c>
      <c r="D345">
        <v>48.029998999999997</v>
      </c>
    </row>
    <row r="346" spans="2:4">
      <c r="B346" s="39">
        <v>41497</v>
      </c>
      <c r="C346">
        <v>9086234</v>
      </c>
      <c r="D346">
        <v>48.029998999999997</v>
      </c>
    </row>
    <row r="347" spans="2:4">
      <c r="B347" s="39">
        <v>41498</v>
      </c>
      <c r="C347">
        <v>9086234</v>
      </c>
      <c r="D347">
        <v>47.75</v>
      </c>
    </row>
    <row r="348" spans="2:4">
      <c r="B348" s="39">
        <v>41499</v>
      </c>
      <c r="C348">
        <v>9086234</v>
      </c>
      <c r="D348">
        <v>48.3</v>
      </c>
    </row>
    <row r="349" spans="2:4">
      <c r="B349" s="39">
        <v>41500</v>
      </c>
      <c r="C349">
        <v>9086234</v>
      </c>
      <c r="D349">
        <v>48.059998999999998</v>
      </c>
    </row>
    <row r="350" spans="2:4">
      <c r="B350" s="39">
        <v>41501</v>
      </c>
      <c r="C350">
        <v>9086234</v>
      </c>
      <c r="D350">
        <v>47.039999000000002</v>
      </c>
    </row>
    <row r="351" spans="2:4">
      <c r="B351" s="39">
        <v>41502</v>
      </c>
      <c r="C351">
        <v>9086234</v>
      </c>
      <c r="D351">
        <v>47.099998999999997</v>
      </c>
    </row>
    <row r="352" spans="2:4">
      <c r="B352" s="39">
        <v>41503</v>
      </c>
      <c r="C352">
        <v>9086234</v>
      </c>
      <c r="D352">
        <v>47.099998999999997</v>
      </c>
    </row>
    <row r="353" spans="2:4">
      <c r="B353" s="39">
        <v>41504</v>
      </c>
      <c r="C353">
        <v>9086234</v>
      </c>
      <c r="D353">
        <v>47.099998999999997</v>
      </c>
    </row>
    <row r="354" spans="2:4">
      <c r="B354" s="39">
        <v>41505</v>
      </c>
      <c r="C354">
        <v>9086234</v>
      </c>
      <c r="D354">
        <v>46.32</v>
      </c>
    </row>
    <row r="355" spans="2:4">
      <c r="B355" s="39">
        <v>41506</v>
      </c>
      <c r="C355">
        <v>9086234</v>
      </c>
      <c r="D355">
        <v>46.919999000000004</v>
      </c>
    </row>
    <row r="356" spans="2:4">
      <c r="B356" s="39">
        <v>41507</v>
      </c>
      <c r="C356">
        <v>9086234</v>
      </c>
      <c r="D356">
        <v>46.72</v>
      </c>
    </row>
    <row r="357" spans="2:4">
      <c r="B357" s="39">
        <v>41508</v>
      </c>
      <c r="C357">
        <v>9086234</v>
      </c>
      <c r="D357">
        <v>47.149999000000008</v>
      </c>
    </row>
    <row r="358" spans="2:4">
      <c r="B358" s="39">
        <v>41509</v>
      </c>
      <c r="C358">
        <v>9086234</v>
      </c>
      <c r="D358">
        <v>47.38999900000001</v>
      </c>
    </row>
    <row r="359" spans="2:4">
      <c r="B359" s="39">
        <v>41510</v>
      </c>
      <c r="C359">
        <v>9086234</v>
      </c>
      <c r="D359">
        <v>47.38999900000001</v>
      </c>
    </row>
    <row r="360" spans="2:4">
      <c r="B360" s="39">
        <v>41511</v>
      </c>
      <c r="C360">
        <v>9086234</v>
      </c>
      <c r="D360">
        <v>47.38999900000001</v>
      </c>
    </row>
    <row r="361" spans="2:4">
      <c r="B361" s="39">
        <v>41512</v>
      </c>
      <c r="C361">
        <v>9086234</v>
      </c>
      <c r="D361">
        <v>47.36</v>
      </c>
    </row>
    <row r="362" spans="2:4">
      <c r="B362" s="39">
        <v>41513</v>
      </c>
      <c r="C362">
        <v>9086234</v>
      </c>
      <c r="D362">
        <v>46.159999000000006</v>
      </c>
    </row>
    <row r="363" spans="2:4">
      <c r="B363" s="39">
        <v>41514</v>
      </c>
      <c r="C363">
        <v>9086234</v>
      </c>
      <c r="D363">
        <v>46.41</v>
      </c>
    </row>
    <row r="364" spans="2:4">
      <c r="B364" s="39">
        <v>41515</v>
      </c>
      <c r="C364">
        <v>9086234</v>
      </c>
      <c r="D364">
        <v>46.579999000000001</v>
      </c>
    </row>
    <row r="365" spans="2:4">
      <c r="B365" s="39">
        <v>41516</v>
      </c>
      <c r="C365">
        <v>9086234</v>
      </c>
      <c r="D365">
        <v>46.46</v>
      </c>
    </row>
    <row r="366" spans="2:4">
      <c r="B366" s="39">
        <v>41517</v>
      </c>
      <c r="C366">
        <v>9086234</v>
      </c>
      <c r="D366">
        <v>46.46</v>
      </c>
    </row>
    <row r="367" spans="2:4">
      <c r="B367" s="39">
        <v>41518</v>
      </c>
      <c r="C367">
        <v>9086234</v>
      </c>
      <c r="D367">
        <v>46.46</v>
      </c>
    </row>
    <row r="368" spans="2:4">
      <c r="B368" s="39">
        <v>41519</v>
      </c>
      <c r="C368">
        <v>9086234</v>
      </c>
      <c r="D368">
        <v>46.46</v>
      </c>
    </row>
    <row r="369" spans="2:4">
      <c r="B369" s="39">
        <v>41520</v>
      </c>
      <c r="C369">
        <v>9086234</v>
      </c>
      <c r="D369">
        <v>47.67</v>
      </c>
    </row>
    <row r="370" spans="2:4">
      <c r="B370" s="39">
        <v>41521</v>
      </c>
      <c r="C370">
        <v>9086234</v>
      </c>
      <c r="D370">
        <v>48.29</v>
      </c>
    </row>
    <row r="371" spans="2:4">
      <c r="B371" s="39">
        <v>41522</v>
      </c>
      <c r="C371">
        <v>9086234</v>
      </c>
      <c r="D371">
        <v>48.670000000000009</v>
      </c>
    </row>
    <row r="372" spans="2:4">
      <c r="B372" s="39">
        <v>41523</v>
      </c>
      <c r="C372">
        <v>9086234</v>
      </c>
      <c r="D372">
        <v>48.18</v>
      </c>
    </row>
    <row r="373" spans="2:4">
      <c r="B373" s="39">
        <v>41524</v>
      </c>
      <c r="C373">
        <v>9086234</v>
      </c>
      <c r="D373">
        <v>48.18</v>
      </c>
    </row>
    <row r="374" spans="2:4">
      <c r="B374" s="39">
        <v>41525</v>
      </c>
      <c r="C374">
        <v>9086234</v>
      </c>
      <c r="D374">
        <v>48.18</v>
      </c>
    </row>
    <row r="375" spans="2:4">
      <c r="B375" s="39">
        <v>41526</v>
      </c>
      <c r="C375">
        <v>9086234</v>
      </c>
      <c r="D375">
        <v>49.189999</v>
      </c>
    </row>
    <row r="376" spans="2:4">
      <c r="B376" s="39">
        <v>41527</v>
      </c>
      <c r="C376">
        <v>9086234</v>
      </c>
      <c r="D376">
        <v>49.419999000000004</v>
      </c>
    </row>
    <row r="377" spans="2:4">
      <c r="B377" s="39">
        <v>41528</v>
      </c>
      <c r="C377">
        <v>9086234</v>
      </c>
      <c r="D377">
        <v>49.75</v>
      </c>
    </row>
    <row r="378" spans="2:4">
      <c r="B378" s="39">
        <v>41529</v>
      </c>
      <c r="C378">
        <v>9086234</v>
      </c>
      <c r="D378">
        <v>49.28</v>
      </c>
    </row>
    <row r="379" spans="2:4">
      <c r="B379" s="39">
        <v>41530</v>
      </c>
      <c r="C379">
        <v>9086234</v>
      </c>
      <c r="D379">
        <v>49.7</v>
      </c>
    </row>
    <row r="380" spans="2:4">
      <c r="B380" s="39">
        <v>41531</v>
      </c>
      <c r="C380">
        <v>9086234</v>
      </c>
      <c r="D380">
        <v>49.7</v>
      </c>
    </row>
    <row r="381" spans="2:4">
      <c r="B381" s="39">
        <v>41532</v>
      </c>
      <c r="C381">
        <v>9086234</v>
      </c>
      <c r="D381">
        <v>49.7</v>
      </c>
    </row>
    <row r="382" spans="2:4">
      <c r="B382" s="39">
        <v>41533</v>
      </c>
      <c r="C382">
        <v>9086234</v>
      </c>
      <c r="D382">
        <v>49.689999</v>
      </c>
    </row>
    <row r="383" spans="2:4">
      <c r="B383" s="39">
        <v>41534</v>
      </c>
      <c r="C383">
        <v>9086234</v>
      </c>
      <c r="D383">
        <v>50.45999900000001</v>
      </c>
    </row>
    <row r="384" spans="2:4">
      <c r="B384" s="39">
        <v>41535</v>
      </c>
      <c r="C384">
        <v>9086234</v>
      </c>
      <c r="D384">
        <v>50.569999999999993</v>
      </c>
    </row>
    <row r="385" spans="2:4">
      <c r="B385" s="39">
        <v>41536</v>
      </c>
      <c r="C385">
        <v>9086234</v>
      </c>
      <c r="D385">
        <v>49.86</v>
      </c>
    </row>
    <row r="386" spans="2:4">
      <c r="B386" s="39">
        <v>41537</v>
      </c>
      <c r="C386">
        <v>9086234</v>
      </c>
      <c r="D386">
        <v>49.95</v>
      </c>
    </row>
    <row r="387" spans="2:4">
      <c r="B387" s="39">
        <v>41538</v>
      </c>
      <c r="C387">
        <v>9086234</v>
      </c>
      <c r="D387">
        <v>49.95</v>
      </c>
    </row>
    <row r="388" spans="2:4">
      <c r="B388" s="39">
        <v>41539</v>
      </c>
      <c r="C388">
        <v>9086234</v>
      </c>
      <c r="D388">
        <v>49.95</v>
      </c>
    </row>
    <row r="389" spans="2:4">
      <c r="B389" s="39">
        <v>41540</v>
      </c>
      <c r="C389">
        <v>9086234</v>
      </c>
      <c r="D389">
        <v>49.16</v>
      </c>
    </row>
    <row r="390" spans="2:4">
      <c r="B390" s="39">
        <v>41541</v>
      </c>
      <c r="C390">
        <v>9086234</v>
      </c>
      <c r="D390">
        <v>49.24</v>
      </c>
    </row>
    <row r="391" spans="2:4">
      <c r="B391" s="39">
        <v>41542</v>
      </c>
      <c r="C391">
        <v>9086234</v>
      </c>
      <c r="D391">
        <v>49.54</v>
      </c>
    </row>
    <row r="392" spans="2:4">
      <c r="B392" s="39">
        <v>41543</v>
      </c>
      <c r="C392">
        <v>9086234</v>
      </c>
      <c r="D392">
        <v>49.45</v>
      </c>
    </row>
    <row r="393" spans="2:4">
      <c r="B393" s="39">
        <v>41544</v>
      </c>
      <c r="C393">
        <v>9086234</v>
      </c>
      <c r="D393">
        <v>49.15</v>
      </c>
    </row>
    <row r="394" spans="2:4">
      <c r="B394" s="39">
        <v>41545</v>
      </c>
      <c r="C394">
        <v>9086234</v>
      </c>
      <c r="D394">
        <v>49.15</v>
      </c>
    </row>
    <row r="395" spans="2:4">
      <c r="B395" s="39">
        <v>41546</v>
      </c>
      <c r="C395">
        <v>9086234</v>
      </c>
      <c r="D395">
        <v>49.15</v>
      </c>
    </row>
    <row r="396" spans="2:4">
      <c r="B396" s="39">
        <v>41547</v>
      </c>
      <c r="C396">
        <v>9086234</v>
      </c>
      <c r="D396">
        <v>48.629998999999998</v>
      </c>
    </row>
    <row r="397" spans="2:4">
      <c r="B397" s="39">
        <v>41548</v>
      </c>
      <c r="C397">
        <v>9086234</v>
      </c>
      <c r="D397">
        <v>49.1</v>
      </c>
    </row>
    <row r="398" spans="2:4">
      <c r="B398" s="39">
        <v>41549</v>
      </c>
      <c r="C398">
        <v>9086234</v>
      </c>
      <c r="D398">
        <v>49.22</v>
      </c>
    </row>
    <row r="399" spans="2:4">
      <c r="B399" s="39">
        <v>41550</v>
      </c>
      <c r="C399">
        <v>9086234</v>
      </c>
      <c r="D399">
        <v>48.849998999999997</v>
      </c>
    </row>
    <row r="400" spans="2:4">
      <c r="B400" s="39">
        <v>41551</v>
      </c>
      <c r="C400">
        <v>9086234</v>
      </c>
      <c r="D400">
        <v>49.53</v>
      </c>
    </row>
    <row r="401" spans="2:4">
      <c r="B401" s="39">
        <v>41552</v>
      </c>
      <c r="C401">
        <v>9086234</v>
      </c>
      <c r="D401">
        <v>49.53</v>
      </c>
    </row>
    <row r="402" spans="2:4">
      <c r="B402" s="39">
        <v>41553</v>
      </c>
      <c r="C402">
        <v>9086234</v>
      </c>
      <c r="D402">
        <v>49.53</v>
      </c>
    </row>
    <row r="403" spans="2:4">
      <c r="B403" s="39">
        <v>41554</v>
      </c>
      <c r="C403">
        <v>9086234</v>
      </c>
      <c r="D403">
        <v>48.73</v>
      </c>
    </row>
    <row r="404" spans="2:4">
      <c r="B404" s="39">
        <v>41555</v>
      </c>
      <c r="C404">
        <v>9086234</v>
      </c>
      <c r="D404">
        <v>47.7</v>
      </c>
    </row>
    <row r="405" spans="2:4">
      <c r="B405" s="39">
        <v>41556</v>
      </c>
      <c r="C405">
        <v>9086234</v>
      </c>
      <c r="D405">
        <v>47.729998999999999</v>
      </c>
    </row>
    <row r="406" spans="2:4">
      <c r="B406" s="39">
        <v>41557</v>
      </c>
      <c r="C406">
        <v>9086234</v>
      </c>
      <c r="D406">
        <v>49.58</v>
      </c>
    </row>
    <row r="407" spans="2:4">
      <c r="B407" s="39">
        <v>41558</v>
      </c>
      <c r="C407">
        <v>9086234</v>
      </c>
      <c r="D407">
        <v>50</v>
      </c>
    </row>
    <row r="408" spans="2:4">
      <c r="B408" s="39">
        <v>41559</v>
      </c>
      <c r="C408">
        <v>9086234</v>
      </c>
      <c r="D408">
        <v>50</v>
      </c>
    </row>
    <row r="409" spans="2:4">
      <c r="B409" s="39">
        <v>41560</v>
      </c>
      <c r="C409">
        <v>9086234</v>
      </c>
      <c r="D409">
        <v>50</v>
      </c>
    </row>
    <row r="410" spans="2:4">
      <c r="B410" s="39">
        <v>41561</v>
      </c>
      <c r="C410">
        <v>9086234</v>
      </c>
      <c r="D410">
        <v>50.23</v>
      </c>
    </row>
    <row r="411" spans="2:4">
      <c r="B411" s="39">
        <v>41562</v>
      </c>
      <c r="C411">
        <v>9086234</v>
      </c>
      <c r="D411">
        <v>50.02</v>
      </c>
    </row>
    <row r="412" spans="2:4">
      <c r="B412" s="39">
        <v>41563</v>
      </c>
      <c r="C412">
        <v>9086234</v>
      </c>
      <c r="D412">
        <v>51.26</v>
      </c>
    </row>
    <row r="413" spans="2:4">
      <c r="B413" s="39">
        <v>41564</v>
      </c>
      <c r="C413">
        <v>9086234</v>
      </c>
      <c r="D413">
        <v>51.85</v>
      </c>
    </row>
    <row r="414" spans="2:4">
      <c r="B414" s="39">
        <v>41565</v>
      </c>
      <c r="C414">
        <v>9086234</v>
      </c>
      <c r="D414">
        <v>52.299999000000007</v>
      </c>
    </row>
    <row r="415" spans="2:4">
      <c r="B415" s="39">
        <v>41566</v>
      </c>
      <c r="C415">
        <v>9086234</v>
      </c>
      <c r="D415">
        <v>52.299999000000007</v>
      </c>
    </row>
    <row r="416" spans="2:4">
      <c r="B416" s="39">
        <v>41567</v>
      </c>
      <c r="C416">
        <v>9086234</v>
      </c>
      <c r="D416">
        <v>52.299999000000007</v>
      </c>
    </row>
    <row r="417" spans="2:4">
      <c r="B417" s="39">
        <v>41568</v>
      </c>
      <c r="C417">
        <v>9086234</v>
      </c>
      <c r="D417">
        <v>52</v>
      </c>
    </row>
    <row r="418" spans="2:4">
      <c r="B418" s="39">
        <v>41569</v>
      </c>
      <c r="C418">
        <v>9086234</v>
      </c>
      <c r="D418">
        <v>52.29</v>
      </c>
    </row>
    <row r="419" spans="2:4">
      <c r="B419" s="39">
        <v>41570</v>
      </c>
      <c r="C419">
        <v>9086234</v>
      </c>
      <c r="D419">
        <v>51.86</v>
      </c>
    </row>
    <row r="420" spans="2:4">
      <c r="B420" s="39">
        <v>41571</v>
      </c>
      <c r="C420">
        <v>9086234</v>
      </c>
      <c r="D420">
        <v>51.799999000000007</v>
      </c>
    </row>
    <row r="421" spans="2:4">
      <c r="B421" s="39">
        <v>41572</v>
      </c>
      <c r="C421">
        <v>9086234</v>
      </c>
      <c r="D421">
        <v>51.85</v>
      </c>
    </row>
    <row r="422" spans="2:4">
      <c r="B422" s="39">
        <v>41573</v>
      </c>
      <c r="C422">
        <v>9086234</v>
      </c>
      <c r="D422">
        <v>51.85</v>
      </c>
    </row>
    <row r="423" spans="2:4">
      <c r="B423" s="39">
        <v>41574</v>
      </c>
      <c r="C423">
        <v>9086234</v>
      </c>
      <c r="D423">
        <v>51.85</v>
      </c>
    </row>
    <row r="424" spans="2:4">
      <c r="B424" s="39">
        <v>41575</v>
      </c>
      <c r="C424">
        <v>9086234</v>
      </c>
      <c r="D424">
        <v>51.430000000000007</v>
      </c>
    </row>
    <row r="425" spans="2:4">
      <c r="B425" s="39">
        <v>41576</v>
      </c>
      <c r="C425">
        <v>9086234</v>
      </c>
      <c r="D425">
        <v>52.25</v>
      </c>
    </row>
    <row r="426" spans="2:4">
      <c r="B426" s="39">
        <v>41577</v>
      </c>
      <c r="C426">
        <v>9086234</v>
      </c>
      <c r="D426">
        <v>51.969999000000001</v>
      </c>
    </row>
    <row r="427" spans="2:4">
      <c r="B427" s="39">
        <v>41578</v>
      </c>
      <c r="C427">
        <v>9086234</v>
      </c>
      <c r="D427">
        <v>49.9</v>
      </c>
    </row>
    <row r="428" spans="2:4">
      <c r="B428" s="39">
        <v>41579</v>
      </c>
      <c r="C428">
        <v>11000000</v>
      </c>
      <c r="D428">
        <v>48.279999999999994</v>
      </c>
    </row>
    <row r="429" spans="2:4">
      <c r="B429" s="39">
        <v>41580</v>
      </c>
      <c r="C429">
        <v>11000000</v>
      </c>
      <c r="D429">
        <v>48.279999999999994</v>
      </c>
    </row>
    <row r="430" spans="2:4">
      <c r="B430" s="39">
        <v>41581</v>
      </c>
      <c r="C430">
        <v>11000000</v>
      </c>
      <c r="D430">
        <v>48.279999999999994</v>
      </c>
    </row>
    <row r="431" spans="2:4">
      <c r="B431" s="39">
        <v>41582</v>
      </c>
      <c r="C431">
        <v>11000000</v>
      </c>
      <c r="D431">
        <v>49.079999000000001</v>
      </c>
    </row>
    <row r="432" spans="2:4">
      <c r="B432" s="39">
        <v>41583</v>
      </c>
      <c r="C432">
        <v>11000000</v>
      </c>
      <c r="D432">
        <v>48.29</v>
      </c>
    </row>
    <row r="433" spans="2:4">
      <c r="B433" s="39">
        <v>41584</v>
      </c>
      <c r="C433">
        <v>11000000</v>
      </c>
      <c r="D433">
        <v>47.589998999999999</v>
      </c>
    </row>
    <row r="434" spans="2:4">
      <c r="B434" s="39">
        <v>41585</v>
      </c>
      <c r="C434">
        <v>11000000</v>
      </c>
      <c r="D434">
        <v>47.3</v>
      </c>
    </row>
    <row r="435" spans="2:4">
      <c r="B435" s="39">
        <v>41586</v>
      </c>
      <c r="C435">
        <v>11000000</v>
      </c>
      <c r="D435">
        <v>48.539999000000009</v>
      </c>
    </row>
    <row r="436" spans="2:4">
      <c r="B436" s="39">
        <v>41587</v>
      </c>
      <c r="C436">
        <v>11000000</v>
      </c>
      <c r="D436">
        <v>48.539999000000009</v>
      </c>
    </row>
    <row r="437" spans="2:4">
      <c r="B437" s="39">
        <v>41588</v>
      </c>
      <c r="C437">
        <v>11000000</v>
      </c>
      <c r="D437">
        <v>48.539999000000009</v>
      </c>
    </row>
    <row r="438" spans="2:4">
      <c r="B438" s="39">
        <v>41589</v>
      </c>
      <c r="C438">
        <v>11000000</v>
      </c>
      <c r="D438">
        <v>48.84</v>
      </c>
    </row>
    <row r="439" spans="2:4">
      <c r="B439" s="39">
        <v>41590</v>
      </c>
      <c r="C439">
        <v>11000000</v>
      </c>
      <c r="D439">
        <v>48.189999</v>
      </c>
    </row>
    <row r="440" spans="2:4">
      <c r="B440" s="39">
        <v>41591</v>
      </c>
      <c r="C440">
        <v>11000000</v>
      </c>
      <c r="D440">
        <v>48.58</v>
      </c>
    </row>
    <row r="441" spans="2:4">
      <c r="B441" s="39">
        <v>41592</v>
      </c>
      <c r="C441">
        <v>11000000</v>
      </c>
      <c r="D441">
        <v>49.309999000000005</v>
      </c>
    </row>
    <row r="442" spans="2:4">
      <c r="B442" s="39">
        <v>41593</v>
      </c>
      <c r="C442">
        <v>11000000</v>
      </c>
      <c r="D442">
        <v>49.299999</v>
      </c>
    </row>
    <row r="443" spans="2:4">
      <c r="B443" s="39">
        <v>41594</v>
      </c>
      <c r="C443">
        <v>11000000</v>
      </c>
      <c r="D443">
        <v>49.299999</v>
      </c>
    </row>
    <row r="444" spans="2:4">
      <c r="B444" s="39">
        <v>41595</v>
      </c>
      <c r="C444">
        <v>11000000</v>
      </c>
      <c r="D444">
        <v>49.299999</v>
      </c>
    </row>
    <row r="445" spans="2:4">
      <c r="B445" s="39">
        <v>41596</v>
      </c>
      <c r="C445">
        <v>11000000</v>
      </c>
      <c r="D445">
        <v>48.959999000000003</v>
      </c>
    </row>
    <row r="446" spans="2:4">
      <c r="B446" s="39">
        <v>41597</v>
      </c>
      <c r="C446">
        <v>11000000</v>
      </c>
      <c r="D446">
        <v>48.779998999999997</v>
      </c>
    </row>
    <row r="447" spans="2:4">
      <c r="B447" s="39">
        <v>41598</v>
      </c>
      <c r="C447">
        <v>11000000</v>
      </c>
      <c r="D447">
        <v>48.260000000000005</v>
      </c>
    </row>
    <row r="448" spans="2:4">
      <c r="B448" s="39">
        <v>41599</v>
      </c>
      <c r="C448">
        <v>11000000</v>
      </c>
      <c r="D448">
        <v>48.919999000000004</v>
      </c>
    </row>
    <row r="449" spans="2:4">
      <c r="B449" s="39">
        <v>41600</v>
      </c>
      <c r="C449">
        <v>11000000</v>
      </c>
      <c r="D449">
        <v>49.59</v>
      </c>
    </row>
    <row r="450" spans="2:4">
      <c r="B450" s="39">
        <v>41601</v>
      </c>
      <c r="C450">
        <v>11000000</v>
      </c>
      <c r="D450">
        <v>49.59</v>
      </c>
    </row>
    <row r="451" spans="2:4">
      <c r="B451" s="39">
        <v>41602</v>
      </c>
      <c r="C451">
        <v>11000000</v>
      </c>
      <c r="D451">
        <v>49.59</v>
      </c>
    </row>
    <row r="452" spans="2:4">
      <c r="B452" s="39">
        <v>41603</v>
      </c>
      <c r="C452">
        <v>11000000</v>
      </c>
      <c r="D452">
        <v>49.79999999999999</v>
      </c>
    </row>
    <row r="453" spans="2:4">
      <c r="B453" s="39">
        <v>41604</v>
      </c>
      <c r="C453">
        <v>11000000</v>
      </c>
      <c r="D453">
        <v>49.39</v>
      </c>
    </row>
    <row r="454" spans="2:4">
      <c r="B454" s="39">
        <v>41605</v>
      </c>
      <c r="C454">
        <v>11000000</v>
      </c>
      <c r="D454">
        <v>49.65</v>
      </c>
    </row>
    <row r="455" spans="2:4">
      <c r="B455" s="39">
        <v>41606</v>
      </c>
      <c r="C455">
        <v>11000000</v>
      </c>
      <c r="D455">
        <v>49.65</v>
      </c>
    </row>
    <row r="456" spans="2:4">
      <c r="B456" s="39">
        <v>41607</v>
      </c>
      <c r="C456">
        <v>11000000</v>
      </c>
      <c r="D456">
        <v>49.75</v>
      </c>
    </row>
    <row r="457" spans="2:4">
      <c r="B457" s="39">
        <v>41608</v>
      </c>
      <c r="C457">
        <v>11000000</v>
      </c>
      <c r="D457">
        <v>49.75</v>
      </c>
    </row>
    <row r="458" spans="2:4">
      <c r="B458" s="39">
        <v>41609</v>
      </c>
      <c r="C458">
        <v>11000000</v>
      </c>
      <c r="D458">
        <v>49.75</v>
      </c>
    </row>
    <row r="459" spans="2:4">
      <c r="B459" s="39">
        <v>41610</v>
      </c>
      <c r="C459">
        <v>11000000</v>
      </c>
      <c r="D459">
        <v>49.709999000000003</v>
      </c>
    </row>
    <row r="460" spans="2:4">
      <c r="B460" s="39">
        <v>41611</v>
      </c>
      <c r="C460">
        <v>11200000</v>
      </c>
      <c r="D460">
        <v>48.65</v>
      </c>
    </row>
    <row r="461" spans="2:4">
      <c r="B461" s="39">
        <v>41612</v>
      </c>
      <c r="C461">
        <v>11200000</v>
      </c>
      <c r="D461">
        <v>48.939999</v>
      </c>
    </row>
    <row r="462" spans="2:4">
      <c r="B462" s="39">
        <v>41613</v>
      </c>
      <c r="C462">
        <v>11200000</v>
      </c>
      <c r="D462">
        <v>48.189999</v>
      </c>
    </row>
    <row r="463" spans="2:4">
      <c r="B463" s="39">
        <v>41614</v>
      </c>
      <c r="C463">
        <v>11200000</v>
      </c>
      <c r="D463">
        <v>49.55</v>
      </c>
    </row>
    <row r="464" spans="2:4">
      <c r="B464" s="39">
        <v>41615</v>
      </c>
      <c r="C464">
        <v>11200000</v>
      </c>
      <c r="D464">
        <v>49.55</v>
      </c>
    </row>
    <row r="465" spans="2:4">
      <c r="B465" s="39">
        <v>41616</v>
      </c>
      <c r="C465">
        <v>11200000</v>
      </c>
      <c r="D465">
        <v>49.55</v>
      </c>
    </row>
    <row r="466" spans="2:4">
      <c r="B466" s="39">
        <v>41617</v>
      </c>
      <c r="C466">
        <v>11200000</v>
      </c>
      <c r="D466">
        <v>49.559998999999998</v>
      </c>
    </row>
    <row r="467" spans="2:4">
      <c r="B467" s="39">
        <v>41618</v>
      </c>
      <c r="C467">
        <v>11200000</v>
      </c>
      <c r="D467">
        <v>49.299999</v>
      </c>
    </row>
    <row r="468" spans="2:4">
      <c r="B468" s="39">
        <v>41619</v>
      </c>
      <c r="C468">
        <v>11200000</v>
      </c>
      <c r="D468">
        <v>48.70000000000001</v>
      </c>
    </row>
    <row r="469" spans="2:4">
      <c r="B469" s="39">
        <v>41620</v>
      </c>
      <c r="C469">
        <v>11200000</v>
      </c>
      <c r="D469">
        <v>49.419999000000004</v>
      </c>
    </row>
    <row r="470" spans="2:4">
      <c r="B470" s="39">
        <v>41621</v>
      </c>
      <c r="C470">
        <v>11200000</v>
      </c>
      <c r="D470">
        <v>49.729999000000007</v>
      </c>
    </row>
    <row r="471" spans="2:4">
      <c r="B471" s="39">
        <v>41622</v>
      </c>
      <c r="C471">
        <v>11200000</v>
      </c>
      <c r="D471">
        <v>49.729999000000007</v>
      </c>
    </row>
    <row r="472" spans="2:4">
      <c r="B472" s="39">
        <v>41623</v>
      </c>
      <c r="C472">
        <v>11200000</v>
      </c>
      <c r="D472">
        <v>49.729999000000007</v>
      </c>
    </row>
    <row r="473" spans="2:4">
      <c r="B473" s="39">
        <v>41624</v>
      </c>
      <c r="C473">
        <v>11200000</v>
      </c>
      <c r="D473">
        <v>50.28</v>
      </c>
    </row>
    <row r="474" spans="2:4">
      <c r="B474" s="39">
        <v>41625</v>
      </c>
      <c r="C474">
        <v>11200000</v>
      </c>
      <c r="D474">
        <v>49.359999000000002</v>
      </c>
    </row>
    <row r="475" spans="2:4">
      <c r="B475" s="39">
        <v>41626</v>
      </c>
      <c r="C475">
        <v>11200000</v>
      </c>
      <c r="D475">
        <v>50.25</v>
      </c>
    </row>
    <row r="476" spans="2:4">
      <c r="B476" s="39">
        <v>41627</v>
      </c>
      <c r="C476">
        <v>11200000</v>
      </c>
      <c r="D476">
        <v>50.36</v>
      </c>
    </row>
    <row r="477" spans="2:4">
      <c r="B477" s="39">
        <v>41628</v>
      </c>
      <c r="C477">
        <v>11200000</v>
      </c>
      <c r="D477">
        <v>51.03</v>
      </c>
    </row>
    <row r="478" spans="2:4">
      <c r="B478" s="39">
        <v>41629</v>
      </c>
      <c r="C478">
        <v>11200000</v>
      </c>
      <c r="D478">
        <v>51.03</v>
      </c>
    </row>
    <row r="479" spans="2:4">
      <c r="B479" s="39">
        <v>41630</v>
      </c>
      <c r="C479">
        <v>11200000</v>
      </c>
      <c r="D479">
        <v>51.03</v>
      </c>
    </row>
    <row r="480" spans="2:4">
      <c r="B480" s="39">
        <v>41631</v>
      </c>
      <c r="C480">
        <v>11200000</v>
      </c>
      <c r="D480">
        <v>51.239999999999995</v>
      </c>
    </row>
    <row r="481" spans="2:4">
      <c r="B481" s="39">
        <v>41632</v>
      </c>
      <c r="C481">
        <v>11200000</v>
      </c>
      <c r="D481">
        <v>51.28</v>
      </c>
    </row>
    <row r="482" spans="2:4">
      <c r="B482" s="39">
        <v>41633</v>
      </c>
      <c r="C482">
        <v>11200000</v>
      </c>
      <c r="D482">
        <v>51.28</v>
      </c>
    </row>
    <row r="483" spans="2:4">
      <c r="B483" s="39">
        <v>41634</v>
      </c>
      <c r="C483">
        <v>11200000</v>
      </c>
      <c r="D483">
        <v>51</v>
      </c>
    </row>
    <row r="484" spans="2:4">
      <c r="B484" s="39">
        <v>41635</v>
      </c>
      <c r="C484">
        <v>11200000</v>
      </c>
      <c r="D484">
        <v>51.179999000000002</v>
      </c>
    </row>
    <row r="485" spans="2:4">
      <c r="B485" s="39">
        <v>41636</v>
      </c>
      <c r="C485">
        <v>11200000</v>
      </c>
      <c r="D485">
        <v>51.179999000000002</v>
      </c>
    </row>
    <row r="486" spans="2:4">
      <c r="B486" s="39">
        <v>41637</v>
      </c>
      <c r="C486">
        <v>11200000</v>
      </c>
      <c r="D486">
        <v>51.179999000000002</v>
      </c>
    </row>
    <row r="487" spans="2:4">
      <c r="B487" s="39">
        <v>41638</v>
      </c>
      <c r="C487">
        <v>11200000</v>
      </c>
      <c r="D487">
        <v>51.109999000000002</v>
      </c>
    </row>
    <row r="488" spans="2:4">
      <c r="B488" s="39">
        <v>41639</v>
      </c>
      <c r="C488">
        <v>11200000</v>
      </c>
      <c r="D488">
        <v>51.04999999999999</v>
      </c>
    </row>
    <row r="489" spans="2:4">
      <c r="B489" s="39">
        <v>41640</v>
      </c>
      <c r="C489">
        <v>11200000</v>
      </c>
      <c r="D489">
        <v>51.04999999999999</v>
      </c>
    </row>
    <row r="490" spans="2:4">
      <c r="B490" s="39">
        <v>41641</v>
      </c>
      <c r="C490">
        <v>11200000</v>
      </c>
      <c r="D490">
        <v>50.709999000000003</v>
      </c>
    </row>
    <row r="491" spans="2:4">
      <c r="B491" s="39">
        <v>41642</v>
      </c>
      <c r="C491">
        <v>11200000</v>
      </c>
      <c r="D491">
        <v>50.92</v>
      </c>
    </row>
    <row r="492" spans="2:4">
      <c r="B492" s="39">
        <v>41643</v>
      </c>
      <c r="C492">
        <v>11200000</v>
      </c>
      <c r="D492">
        <v>50.92</v>
      </c>
    </row>
    <row r="493" spans="2:4">
      <c r="B493" s="39">
        <v>41644</v>
      </c>
      <c r="C493">
        <v>11200000</v>
      </c>
      <c r="D493">
        <v>50.92</v>
      </c>
    </row>
    <row r="494" spans="2:4">
      <c r="B494" s="39">
        <v>41645</v>
      </c>
      <c r="C494">
        <v>11200000</v>
      </c>
      <c r="D494">
        <v>50.52</v>
      </c>
    </row>
    <row r="495" spans="2:4">
      <c r="B495" s="39">
        <v>41646</v>
      </c>
      <c r="C495">
        <v>11200000</v>
      </c>
      <c r="D495">
        <v>51.209999000000003</v>
      </c>
    </row>
    <row r="496" spans="2:4">
      <c r="B496" s="39">
        <v>41647</v>
      </c>
      <c r="C496">
        <v>11200000</v>
      </c>
      <c r="D496">
        <v>51.81</v>
      </c>
    </row>
    <row r="497" spans="2:4">
      <c r="B497" s="39">
        <v>41648</v>
      </c>
      <c r="C497">
        <v>11200000</v>
      </c>
      <c r="D497">
        <v>52.109999000000002</v>
      </c>
    </row>
    <row r="498" spans="2:4">
      <c r="B498" s="39">
        <v>41649</v>
      </c>
      <c r="C498">
        <v>11200000</v>
      </c>
      <c r="D498">
        <v>52.219999000000001</v>
      </c>
    </row>
    <row r="499" spans="2:4">
      <c r="B499" s="39">
        <v>41650</v>
      </c>
      <c r="C499">
        <v>11200000</v>
      </c>
      <c r="D499">
        <v>52.219999000000001</v>
      </c>
    </row>
    <row r="500" spans="2:4">
      <c r="B500" s="39">
        <v>41651</v>
      </c>
      <c r="C500">
        <v>11200000</v>
      </c>
      <c r="D500">
        <v>52.219999000000001</v>
      </c>
    </row>
    <row r="501" spans="2:4">
      <c r="B501" s="39">
        <v>41652</v>
      </c>
      <c r="C501">
        <v>11200000</v>
      </c>
      <c r="D501">
        <v>51.46</v>
      </c>
    </row>
    <row r="502" spans="2:4">
      <c r="B502" s="39">
        <v>41653</v>
      </c>
      <c r="C502">
        <v>11200000</v>
      </c>
      <c r="D502">
        <v>51.760000000000005</v>
      </c>
    </row>
    <row r="503" spans="2:4">
      <c r="B503" s="39">
        <v>41654</v>
      </c>
      <c r="C503">
        <v>11200000</v>
      </c>
      <c r="D503">
        <v>52.109999000000002</v>
      </c>
    </row>
    <row r="504" spans="2:4">
      <c r="B504" s="39">
        <v>41655</v>
      </c>
      <c r="C504">
        <v>11200000</v>
      </c>
      <c r="D504">
        <v>51.5</v>
      </c>
    </row>
    <row r="505" spans="2:4">
      <c r="B505" s="39">
        <v>41656</v>
      </c>
      <c r="C505">
        <v>11200000</v>
      </c>
      <c r="D505">
        <v>50.889999000000003</v>
      </c>
    </row>
    <row r="506" spans="2:4">
      <c r="B506" s="39">
        <v>41657</v>
      </c>
      <c r="C506">
        <v>11200000</v>
      </c>
      <c r="D506">
        <v>50.889999000000003</v>
      </c>
    </row>
    <row r="507" spans="2:4">
      <c r="B507" s="39">
        <v>41658</v>
      </c>
      <c r="C507">
        <v>11200000</v>
      </c>
      <c r="D507">
        <v>50.889999000000003</v>
      </c>
    </row>
    <row r="508" spans="2:4">
      <c r="B508" s="39">
        <v>41659</v>
      </c>
      <c r="C508">
        <v>11200000</v>
      </c>
      <c r="D508">
        <v>50.889999000000003</v>
      </c>
    </row>
    <row r="509" spans="2:4">
      <c r="B509" s="39">
        <v>41660</v>
      </c>
      <c r="C509">
        <v>11200000</v>
      </c>
      <c r="D509">
        <v>50.58</v>
      </c>
    </row>
    <row r="510" spans="2:4">
      <c r="B510" s="39">
        <v>41661</v>
      </c>
      <c r="C510">
        <v>11200000</v>
      </c>
      <c r="D510">
        <v>50.29</v>
      </c>
    </row>
    <row r="511" spans="2:4">
      <c r="B511" s="39">
        <v>41662</v>
      </c>
      <c r="C511">
        <v>11200000</v>
      </c>
      <c r="D511">
        <v>49.21</v>
      </c>
    </row>
    <row r="512" spans="2:4">
      <c r="B512" s="39">
        <v>41663</v>
      </c>
      <c r="C512">
        <v>11200000</v>
      </c>
      <c r="D512">
        <v>47.859999000000002</v>
      </c>
    </row>
    <row r="513" spans="2:4">
      <c r="B513" s="39">
        <v>41664</v>
      </c>
      <c r="C513">
        <v>11200000</v>
      </c>
      <c r="D513">
        <v>47.859999000000002</v>
      </c>
    </row>
    <row r="514" spans="2:4">
      <c r="B514" s="39">
        <v>41665</v>
      </c>
      <c r="C514">
        <v>11200000</v>
      </c>
      <c r="D514">
        <v>47.859999000000002</v>
      </c>
    </row>
    <row r="515" spans="2:4">
      <c r="B515" s="39">
        <v>41666</v>
      </c>
      <c r="C515">
        <v>11200000</v>
      </c>
      <c r="D515">
        <v>47.29</v>
      </c>
    </row>
    <row r="516" spans="2:4">
      <c r="B516" s="39">
        <v>41667</v>
      </c>
      <c r="C516">
        <v>11200000</v>
      </c>
      <c r="D516">
        <v>48.46</v>
      </c>
    </row>
    <row r="517" spans="2:4">
      <c r="B517" s="39">
        <v>41668</v>
      </c>
      <c r="C517">
        <v>11200000</v>
      </c>
      <c r="D517">
        <v>47.95</v>
      </c>
    </row>
    <row r="518" spans="2:4">
      <c r="B518" s="39">
        <v>41669</v>
      </c>
      <c r="C518">
        <v>11200000</v>
      </c>
      <c r="D518">
        <v>48.88</v>
      </c>
    </row>
    <row r="519" spans="2:4">
      <c r="B519" s="39">
        <v>41670</v>
      </c>
      <c r="C519">
        <v>11200000</v>
      </c>
      <c r="D519">
        <v>47.96</v>
      </c>
    </row>
    <row r="520" spans="2:4">
      <c r="B520" s="39">
        <v>41671</v>
      </c>
      <c r="C520">
        <v>11200000</v>
      </c>
      <c r="D520">
        <v>47.96</v>
      </c>
    </row>
    <row r="521" spans="2:4">
      <c r="B521" s="39">
        <v>41672</v>
      </c>
      <c r="C521">
        <v>11200000</v>
      </c>
      <c r="D521">
        <v>47.96</v>
      </c>
    </row>
    <row r="522" spans="2:4">
      <c r="B522" s="39">
        <v>41673</v>
      </c>
      <c r="C522">
        <v>11700000</v>
      </c>
      <c r="D522">
        <v>46.88</v>
      </c>
    </row>
    <row r="523" spans="2:4">
      <c r="B523" s="39">
        <v>41674</v>
      </c>
      <c r="C523">
        <v>11700000</v>
      </c>
      <c r="D523">
        <v>47.619999</v>
      </c>
    </row>
    <row r="524" spans="2:4">
      <c r="B524" s="39">
        <v>41675</v>
      </c>
      <c r="C524">
        <v>11700000</v>
      </c>
      <c r="D524">
        <v>47.64</v>
      </c>
    </row>
    <row r="525" spans="2:4">
      <c r="B525" s="39">
        <v>41676</v>
      </c>
      <c r="C525">
        <v>11700000</v>
      </c>
      <c r="D525">
        <v>47.719999000000001</v>
      </c>
    </row>
    <row r="526" spans="2:4">
      <c r="B526" s="39">
        <v>41677</v>
      </c>
      <c r="C526">
        <v>11700000</v>
      </c>
      <c r="D526">
        <v>49.009999000000001</v>
      </c>
    </row>
    <row r="527" spans="2:4">
      <c r="B527" s="39">
        <v>41678</v>
      </c>
      <c r="C527">
        <v>11700000</v>
      </c>
      <c r="D527">
        <v>49.009999000000001</v>
      </c>
    </row>
    <row r="528" spans="2:4">
      <c r="B528" s="39">
        <v>41679</v>
      </c>
      <c r="C528">
        <v>11700000</v>
      </c>
      <c r="D528">
        <v>49.009999000000001</v>
      </c>
    </row>
    <row r="529" spans="2:4">
      <c r="B529" s="39">
        <v>41680</v>
      </c>
      <c r="C529">
        <v>11700000</v>
      </c>
      <c r="D529">
        <v>48.88</v>
      </c>
    </row>
    <row r="530" spans="2:4">
      <c r="B530" s="39">
        <v>41681</v>
      </c>
      <c r="C530">
        <v>11700000</v>
      </c>
      <c r="D530">
        <v>48.999999000000003</v>
      </c>
    </row>
    <row r="531" spans="2:4">
      <c r="B531" s="39">
        <v>41682</v>
      </c>
      <c r="C531">
        <v>11700000</v>
      </c>
      <c r="D531">
        <v>49.04</v>
      </c>
    </row>
    <row r="532" spans="2:4">
      <c r="B532" s="39">
        <v>41683</v>
      </c>
      <c r="C532">
        <v>11700000</v>
      </c>
      <c r="D532">
        <v>49.59</v>
      </c>
    </row>
    <row r="533" spans="2:4">
      <c r="B533" s="39">
        <v>41684</v>
      </c>
      <c r="C533">
        <v>11700000</v>
      </c>
      <c r="D533">
        <v>48.98</v>
      </c>
    </row>
    <row r="534" spans="2:4">
      <c r="B534" s="39">
        <v>41685</v>
      </c>
      <c r="C534">
        <v>11700000</v>
      </c>
      <c r="D534">
        <v>48.98</v>
      </c>
    </row>
    <row r="535" spans="2:4">
      <c r="B535" s="39">
        <v>41686</v>
      </c>
      <c r="C535">
        <v>11700000</v>
      </c>
      <c r="D535">
        <v>48.98</v>
      </c>
    </row>
    <row r="536" spans="2:4">
      <c r="B536" s="39">
        <v>41687</v>
      </c>
      <c r="C536">
        <v>11700000</v>
      </c>
      <c r="D536">
        <v>48.98</v>
      </c>
    </row>
    <row r="537" spans="2:4">
      <c r="B537" s="39">
        <v>41688</v>
      </c>
      <c r="C537">
        <v>11700000</v>
      </c>
      <c r="D537">
        <v>50.17</v>
      </c>
    </row>
    <row r="538" spans="2:4">
      <c r="B538" s="39">
        <v>41689</v>
      </c>
      <c r="C538">
        <v>11700000</v>
      </c>
      <c r="D538">
        <v>49.249999000000003</v>
      </c>
    </row>
    <row r="539" spans="2:4">
      <c r="B539" s="39">
        <v>41690</v>
      </c>
      <c r="C539">
        <v>11700000</v>
      </c>
      <c r="D539">
        <v>49.22</v>
      </c>
    </row>
    <row r="540" spans="2:4">
      <c r="B540" s="39">
        <v>41691</v>
      </c>
      <c r="C540">
        <v>11700000</v>
      </c>
      <c r="D540">
        <v>48.98</v>
      </c>
    </row>
    <row r="541" spans="2:4">
      <c r="B541" s="39">
        <v>41692</v>
      </c>
      <c r="C541">
        <v>11700000</v>
      </c>
      <c r="D541">
        <v>48.98</v>
      </c>
    </row>
    <row r="542" spans="2:4">
      <c r="B542" s="39">
        <v>41693</v>
      </c>
      <c r="C542">
        <v>11700000</v>
      </c>
      <c r="D542">
        <v>48.98</v>
      </c>
    </row>
    <row r="543" spans="2:4">
      <c r="B543" s="39">
        <v>41694</v>
      </c>
      <c r="C543">
        <v>11700000</v>
      </c>
      <c r="D543">
        <v>49.45</v>
      </c>
    </row>
    <row r="544" spans="2:4">
      <c r="B544" s="39">
        <v>41695</v>
      </c>
      <c r="C544">
        <v>11700000</v>
      </c>
      <c r="D544">
        <v>49.009999000000001</v>
      </c>
    </row>
    <row r="545" spans="2:4">
      <c r="B545" s="39">
        <v>41696</v>
      </c>
      <c r="C545">
        <v>11700000</v>
      </c>
      <c r="D545">
        <v>48.719999000000001</v>
      </c>
    </row>
    <row r="546" spans="2:4">
      <c r="B546" s="39">
        <v>41697</v>
      </c>
      <c r="C546">
        <v>11700000</v>
      </c>
      <c r="D546">
        <v>49.309998999999998</v>
      </c>
    </row>
    <row r="547" spans="2:4">
      <c r="B547" s="39">
        <v>41698</v>
      </c>
      <c r="C547">
        <v>11700000</v>
      </c>
      <c r="D547">
        <v>49.769998999999999</v>
      </c>
    </row>
    <row r="548" spans="2:4">
      <c r="B548" s="39">
        <v>41699</v>
      </c>
      <c r="C548">
        <v>11700000</v>
      </c>
      <c r="D548">
        <v>49.769998999999999</v>
      </c>
    </row>
    <row r="549" spans="2:4">
      <c r="B549" s="39">
        <v>41700</v>
      </c>
      <c r="C549">
        <v>11700000</v>
      </c>
      <c r="D549">
        <v>49.769998999999999</v>
      </c>
    </row>
    <row r="550" spans="2:4">
      <c r="B550" s="39">
        <v>41701</v>
      </c>
      <c r="C550">
        <v>11700000</v>
      </c>
      <c r="D550">
        <v>49.45</v>
      </c>
    </row>
    <row r="551" spans="2:4">
      <c r="B551" s="39">
        <v>41702</v>
      </c>
      <c r="C551">
        <v>11700000</v>
      </c>
      <c r="D551">
        <v>50.25</v>
      </c>
    </row>
    <row r="552" spans="2:4">
      <c r="B552" s="39">
        <v>41703</v>
      </c>
      <c r="C552">
        <v>11700000</v>
      </c>
      <c r="D552">
        <v>50.889999000000003</v>
      </c>
    </row>
    <row r="553" spans="2:4">
      <c r="B553" s="39">
        <v>41704</v>
      </c>
      <c r="C553">
        <v>11700000</v>
      </c>
      <c r="D553">
        <v>51.259999999999991</v>
      </c>
    </row>
    <row r="554" spans="2:4">
      <c r="B554" s="39">
        <v>41705</v>
      </c>
      <c r="C554">
        <v>11700000</v>
      </c>
      <c r="D554">
        <v>51.25</v>
      </c>
    </row>
    <row r="555" spans="2:4">
      <c r="B555" s="39">
        <v>41706</v>
      </c>
      <c r="C555">
        <v>11700000</v>
      </c>
      <c r="D555">
        <v>51.25</v>
      </c>
    </row>
    <row r="556" spans="2:4">
      <c r="B556" s="39">
        <v>41707</v>
      </c>
      <c r="C556">
        <v>11700000</v>
      </c>
      <c r="D556">
        <v>51.25</v>
      </c>
    </row>
    <row r="557" spans="2:4">
      <c r="B557" s="39">
        <v>41708</v>
      </c>
      <c r="C557">
        <v>11700000</v>
      </c>
      <c r="D557">
        <v>51.02</v>
      </c>
    </row>
    <row r="558" spans="2:4">
      <c r="B558" s="39">
        <v>41709</v>
      </c>
      <c r="C558">
        <v>11700000</v>
      </c>
      <c r="D558">
        <v>50.529998999999997</v>
      </c>
    </row>
    <row r="559" spans="2:4">
      <c r="B559" s="39">
        <v>41710</v>
      </c>
      <c r="C559">
        <v>11700000</v>
      </c>
      <c r="D559">
        <v>49.93</v>
      </c>
    </row>
    <row r="560" spans="2:4">
      <c r="B560" s="39">
        <v>41711</v>
      </c>
      <c r="C560">
        <v>11700000</v>
      </c>
      <c r="D560">
        <v>48.739998999999997</v>
      </c>
    </row>
    <row r="561" spans="2:4">
      <c r="B561" s="39">
        <v>41712</v>
      </c>
      <c r="C561">
        <v>11700000</v>
      </c>
      <c r="D561">
        <v>48.590000000000011</v>
      </c>
    </row>
    <row r="562" spans="2:4">
      <c r="B562" s="39">
        <v>41713</v>
      </c>
      <c r="C562">
        <v>11700000</v>
      </c>
      <c r="D562">
        <v>48.590000000000011</v>
      </c>
    </row>
    <row r="563" spans="2:4">
      <c r="B563" s="39">
        <v>41714</v>
      </c>
      <c r="C563">
        <v>11700000</v>
      </c>
      <c r="D563">
        <v>48.590000000000011</v>
      </c>
    </row>
    <row r="564" spans="2:4">
      <c r="B564" s="39">
        <v>41715</v>
      </c>
      <c r="C564">
        <v>11700000</v>
      </c>
      <c r="D564">
        <v>48.919999000000004</v>
      </c>
    </row>
    <row r="565" spans="2:4">
      <c r="B565" s="39">
        <v>41716</v>
      </c>
      <c r="C565">
        <v>11700000</v>
      </c>
      <c r="D565">
        <v>49.759999999999991</v>
      </c>
    </row>
    <row r="566" spans="2:4">
      <c r="B566" s="39">
        <v>41717</v>
      </c>
      <c r="C566">
        <v>11700000</v>
      </c>
      <c r="D566">
        <v>49.729999000000007</v>
      </c>
    </row>
    <row r="567" spans="2:4">
      <c r="B567" s="39">
        <v>41718</v>
      </c>
      <c r="C567">
        <v>11700000</v>
      </c>
      <c r="D567">
        <v>50.38</v>
      </c>
    </row>
    <row r="568" spans="2:4">
      <c r="B568" s="39">
        <v>41719</v>
      </c>
      <c r="C568">
        <v>11700000</v>
      </c>
      <c r="D568">
        <v>50.02</v>
      </c>
    </row>
    <row r="569" spans="2:4">
      <c r="B569" s="39">
        <v>41720</v>
      </c>
      <c r="C569">
        <v>11700000</v>
      </c>
      <c r="D569">
        <v>50.02</v>
      </c>
    </row>
    <row r="570" spans="2:4">
      <c r="B570" s="39">
        <v>41721</v>
      </c>
      <c r="C570">
        <v>11700000</v>
      </c>
      <c r="D570">
        <v>50.02</v>
      </c>
    </row>
    <row r="571" spans="2:4">
      <c r="B571" s="39">
        <v>41722</v>
      </c>
      <c r="C571">
        <v>11700000</v>
      </c>
      <c r="D571">
        <v>49.709999000000003</v>
      </c>
    </row>
    <row r="572" spans="2:4">
      <c r="B572" s="39">
        <v>41723</v>
      </c>
      <c r="C572">
        <v>11700000</v>
      </c>
      <c r="D572">
        <v>50.209999000000003</v>
      </c>
    </row>
    <row r="573" spans="2:4">
      <c r="B573" s="39">
        <v>41724</v>
      </c>
      <c r="C573">
        <v>11700000</v>
      </c>
      <c r="D573">
        <v>49.7</v>
      </c>
    </row>
    <row r="574" spans="2:4">
      <c r="B574" s="39">
        <v>41725</v>
      </c>
      <c r="C574">
        <v>11700000</v>
      </c>
      <c r="D574">
        <v>49.41</v>
      </c>
    </row>
    <row r="575" spans="2:4">
      <c r="B575" s="39">
        <v>41726</v>
      </c>
      <c r="C575">
        <v>11700000</v>
      </c>
      <c r="D575">
        <v>49.879999000000005</v>
      </c>
    </row>
    <row r="576" spans="2:4">
      <c r="B576" s="39">
        <v>41727</v>
      </c>
      <c r="C576">
        <v>11700000</v>
      </c>
      <c r="D576">
        <v>49.879999000000005</v>
      </c>
    </row>
    <row r="577" spans="2:4">
      <c r="B577" s="39">
        <v>41728</v>
      </c>
      <c r="C577">
        <v>11700000</v>
      </c>
      <c r="D577">
        <v>49.879999000000005</v>
      </c>
    </row>
    <row r="578" spans="2:4">
      <c r="B578" s="39">
        <v>41729</v>
      </c>
      <c r="C578">
        <v>11700000</v>
      </c>
      <c r="D578">
        <v>50.01</v>
      </c>
    </row>
    <row r="579" spans="2:4">
      <c r="B579" s="39">
        <v>41730</v>
      </c>
      <c r="C579">
        <v>11700000</v>
      </c>
      <c r="D579">
        <v>49.969999000000001</v>
      </c>
    </row>
    <row r="580" spans="2:4">
      <c r="B580" s="39">
        <v>41731</v>
      </c>
      <c r="C580">
        <v>11700000</v>
      </c>
      <c r="D580">
        <v>50.559998999999998</v>
      </c>
    </row>
    <row r="581" spans="2:4">
      <c r="B581" s="39">
        <v>41732</v>
      </c>
      <c r="C581">
        <v>11700000</v>
      </c>
      <c r="D581">
        <v>50.83</v>
      </c>
    </row>
    <row r="582" spans="2:4">
      <c r="B582" s="39">
        <v>41733</v>
      </c>
      <c r="C582">
        <v>11700000</v>
      </c>
      <c r="D582">
        <v>50.55</v>
      </c>
    </row>
    <row r="583" spans="2:4">
      <c r="B583" s="39">
        <v>41734</v>
      </c>
      <c r="C583">
        <v>11700000</v>
      </c>
      <c r="D583">
        <v>50.55</v>
      </c>
    </row>
    <row r="584" spans="2:4">
      <c r="B584" s="39">
        <v>41735</v>
      </c>
      <c r="C584">
        <v>11700000</v>
      </c>
      <c r="D584">
        <v>50.55</v>
      </c>
    </row>
    <row r="585" spans="2:4">
      <c r="B585" s="39">
        <v>41736</v>
      </c>
      <c r="C585">
        <v>11700000</v>
      </c>
      <c r="D585">
        <v>49.629999000000005</v>
      </c>
    </row>
    <row r="586" spans="2:4">
      <c r="B586" s="39">
        <v>41737</v>
      </c>
      <c r="C586">
        <v>11700000</v>
      </c>
      <c r="D586">
        <v>50.04</v>
      </c>
    </row>
    <row r="587" spans="2:4">
      <c r="B587" s="39">
        <v>41738</v>
      </c>
      <c r="C587">
        <v>11700000</v>
      </c>
      <c r="D587">
        <v>51.1</v>
      </c>
    </row>
    <row r="588" spans="2:4">
      <c r="B588" s="39">
        <v>41739</v>
      </c>
      <c r="C588">
        <v>11700000</v>
      </c>
      <c r="D588">
        <v>50.06</v>
      </c>
    </row>
    <row r="589" spans="2:4">
      <c r="B589" s="39">
        <v>41740</v>
      </c>
      <c r="C589">
        <v>11700000</v>
      </c>
      <c r="D589">
        <v>49.399999000000001</v>
      </c>
    </row>
    <row r="590" spans="2:4">
      <c r="B590" s="39">
        <v>41741</v>
      </c>
      <c r="C590">
        <v>11700000</v>
      </c>
      <c r="D590">
        <v>49.399999000000001</v>
      </c>
    </row>
    <row r="591" spans="2:4">
      <c r="B591" s="39">
        <v>41742</v>
      </c>
      <c r="C591">
        <v>11700000</v>
      </c>
      <c r="D591">
        <v>49.399999000000001</v>
      </c>
    </row>
    <row r="592" spans="2:4">
      <c r="B592" s="39">
        <v>41743</v>
      </c>
      <c r="C592">
        <v>11700000</v>
      </c>
      <c r="D592">
        <v>49.57</v>
      </c>
    </row>
    <row r="593" spans="2:4">
      <c r="B593" s="39">
        <v>41744</v>
      </c>
      <c r="C593">
        <v>11700000</v>
      </c>
      <c r="D593">
        <v>49.839998999999999</v>
      </c>
    </row>
    <row r="594" spans="2:4">
      <c r="B594" s="39">
        <v>41745</v>
      </c>
      <c r="C594">
        <v>11700000</v>
      </c>
      <c r="D594">
        <v>50.39</v>
      </c>
    </row>
    <row r="595" spans="2:4">
      <c r="B595" s="39">
        <v>41746</v>
      </c>
      <c r="C595">
        <v>11700000</v>
      </c>
      <c r="D595">
        <v>50.819999000000003</v>
      </c>
    </row>
    <row r="596" spans="2:4">
      <c r="B596" s="39">
        <v>41747</v>
      </c>
      <c r="C596">
        <v>11700000</v>
      </c>
      <c r="D596">
        <v>50.819999000000003</v>
      </c>
    </row>
    <row r="597" spans="2:4">
      <c r="B597" s="39">
        <v>41748</v>
      </c>
      <c r="C597">
        <v>11700000</v>
      </c>
      <c r="D597">
        <v>50.819999000000003</v>
      </c>
    </row>
    <row r="598" spans="2:4">
      <c r="B598" s="39">
        <v>41749</v>
      </c>
      <c r="C598">
        <v>11700000</v>
      </c>
      <c r="D598">
        <v>50.819999000000003</v>
      </c>
    </row>
    <row r="599" spans="2:4">
      <c r="B599" s="39">
        <v>41750</v>
      </c>
      <c r="C599">
        <v>11700000</v>
      </c>
      <c r="D599">
        <v>50.81</v>
      </c>
    </row>
    <row r="600" spans="2:4">
      <c r="B600" s="39">
        <v>41751</v>
      </c>
      <c r="C600">
        <v>11700000</v>
      </c>
      <c r="D600">
        <v>51</v>
      </c>
    </row>
    <row r="601" spans="2:4">
      <c r="B601" s="39">
        <v>41752</v>
      </c>
      <c r="C601">
        <v>11700000</v>
      </c>
      <c r="D601">
        <v>51.639999000000003</v>
      </c>
    </row>
    <row r="602" spans="2:4">
      <c r="B602" s="39">
        <v>41753</v>
      </c>
      <c r="C602">
        <v>11700000</v>
      </c>
      <c r="D602">
        <v>52.489998999999997</v>
      </c>
    </row>
    <row r="603" spans="2:4">
      <c r="B603" s="39">
        <v>41754</v>
      </c>
      <c r="C603">
        <v>11700000</v>
      </c>
      <c r="D603">
        <v>51.609999000000009</v>
      </c>
    </row>
    <row r="604" spans="2:4">
      <c r="B604" s="39">
        <v>41755</v>
      </c>
      <c r="C604">
        <v>11700000</v>
      </c>
      <c r="D604">
        <v>51.609999000000009</v>
      </c>
    </row>
    <row r="605" spans="2:4">
      <c r="B605" s="39">
        <v>41756</v>
      </c>
      <c r="C605">
        <v>11700000</v>
      </c>
      <c r="D605">
        <v>51.609999000000009</v>
      </c>
    </row>
    <row r="606" spans="2:4">
      <c r="B606" s="39">
        <v>41757</v>
      </c>
      <c r="C606">
        <v>11700000</v>
      </c>
      <c r="D606">
        <v>52.109999000000009</v>
      </c>
    </row>
    <row r="607" spans="2:4">
      <c r="B607" s="39">
        <v>41758</v>
      </c>
      <c r="C607">
        <v>11700000</v>
      </c>
      <c r="D607">
        <v>52.81</v>
      </c>
    </row>
    <row r="608" spans="2:4">
      <c r="B608" s="39">
        <v>41759</v>
      </c>
      <c r="C608">
        <v>11700000</v>
      </c>
      <c r="D608">
        <v>53.13</v>
      </c>
    </row>
  </sheetData>
  <mergeCells count="3">
    <mergeCell ref="C3:N3"/>
    <mergeCell ref="C4:N4"/>
    <mergeCell ref="C5:N5"/>
  </mergeCells>
  <pageMargins left="0.7" right="0.7" top="0.75" bottom="0.75" header="0.3" footer="0.3"/>
  <legacyDrawing r:id="rId1"/>
  <controls>
    <control shapeId="19461" r:id="rId2" name="cbSkipWeekends"/>
    <control shapeId="19460" r:id="rId3" name="CommandButton4"/>
    <control shapeId="19459" r:id="rId4" name="CommandButton3"/>
    <control shapeId="19458" r:id="rId5" name="CommandButton2"/>
    <control shapeId="19457" r:id="rId6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U258"/>
  <sheetViews>
    <sheetView workbookViewId="0">
      <selection activeCell="H13" sqref="H13"/>
    </sheetView>
  </sheetViews>
  <sheetFormatPr defaultRowHeight="12.75"/>
  <cols>
    <col min="1" max="1" width="9.5703125" customWidth="1"/>
    <col min="2" max="2" width="12.7109375" bestFit="1" customWidth="1"/>
    <col min="3" max="3" width="11.7109375" bestFit="1" customWidth="1"/>
    <col min="4" max="4" width="10.140625" bestFit="1" customWidth="1"/>
    <col min="5" max="5" width="12.140625" bestFit="1" customWidth="1"/>
    <col min="6" max="9" width="5.7109375" customWidth="1"/>
    <col min="10" max="10" width="10.85546875" customWidth="1"/>
    <col min="11" max="11" width="12.140625" bestFit="1" customWidth="1"/>
    <col min="14" max="17" width="5.7109375" customWidth="1"/>
    <col min="18" max="18" width="11.140625" bestFit="1" customWidth="1"/>
    <col min="19" max="19" width="12.140625" bestFit="1" customWidth="1"/>
  </cols>
  <sheetData>
    <row r="2" spans="2:21" ht="13.5" thickBot="1"/>
    <row r="3" spans="2:21" ht="15">
      <c r="B3" s="168" t="s">
        <v>230</v>
      </c>
      <c r="C3" s="205" t="s">
        <v>4</v>
      </c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7"/>
    </row>
    <row r="4" spans="2:21" ht="85.5" customHeight="1">
      <c r="B4" s="169" t="s">
        <v>231</v>
      </c>
      <c r="C4" s="208" t="s">
        <v>339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10"/>
    </row>
    <row r="5" spans="2:21">
      <c r="B5" s="171" t="s">
        <v>336</v>
      </c>
      <c r="C5" s="172" t="s">
        <v>337</v>
      </c>
      <c r="D5" s="172" t="s">
        <v>338</v>
      </c>
      <c r="E5" s="172" t="s">
        <v>344</v>
      </c>
      <c r="F5" s="172" t="s">
        <v>354</v>
      </c>
      <c r="G5" s="172"/>
      <c r="H5" s="172"/>
      <c r="I5" s="172"/>
      <c r="J5" s="172"/>
      <c r="K5" s="172"/>
      <c r="L5" s="172"/>
      <c r="M5" s="172"/>
      <c r="N5" s="174"/>
    </row>
    <row r="6" spans="2:21" ht="13.5" thickBot="1">
      <c r="B6" s="170" t="s">
        <v>315</v>
      </c>
      <c r="C6" s="211" t="s">
        <v>316</v>
      </c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2"/>
    </row>
    <row r="9" spans="2:21">
      <c r="B9" s="173" t="s">
        <v>365</v>
      </c>
      <c r="J9" s="173" t="s">
        <v>340</v>
      </c>
      <c r="R9" s="173" t="s">
        <v>366</v>
      </c>
    </row>
    <row r="11" spans="2:21">
      <c r="B11" t="s">
        <v>317</v>
      </c>
      <c r="C11" t="s">
        <v>341</v>
      </c>
      <c r="D11" t="s">
        <v>342</v>
      </c>
      <c r="E11" t="s">
        <v>343</v>
      </c>
      <c r="J11" t="s">
        <v>317</v>
      </c>
      <c r="K11" t="s">
        <v>341</v>
      </c>
      <c r="L11" t="s">
        <v>342</v>
      </c>
      <c r="M11" t="s">
        <v>343</v>
      </c>
      <c r="R11" t="s">
        <v>317</v>
      </c>
      <c r="S11" t="s">
        <v>341</v>
      </c>
      <c r="T11" t="s">
        <v>342</v>
      </c>
      <c r="U11" t="s">
        <v>343</v>
      </c>
    </row>
    <row r="12" spans="2:21">
      <c r="B12" s="39">
        <v>42157</v>
      </c>
      <c r="C12" t="s">
        <v>344</v>
      </c>
      <c r="D12">
        <v>1.4171191968948593</v>
      </c>
      <c r="E12">
        <v>0.21327076040255782</v>
      </c>
      <c r="J12" s="39">
        <v>42157</v>
      </c>
      <c r="K12" t="s">
        <v>344</v>
      </c>
      <c r="L12">
        <v>1.4171191968948593</v>
      </c>
      <c r="M12">
        <v>0.21327076040255782</v>
      </c>
      <c r="R12" s="39">
        <v>42157</v>
      </c>
      <c r="S12" t="s">
        <v>345</v>
      </c>
      <c r="T12">
        <v>1.167646763135672</v>
      </c>
      <c r="U12">
        <v>9.588929705643251E-2</v>
      </c>
    </row>
    <row r="13" spans="2:21">
      <c r="B13" s="39">
        <v>42157</v>
      </c>
      <c r="C13" t="s">
        <v>354</v>
      </c>
      <c r="D13">
        <v>1.4786679943441068</v>
      </c>
      <c r="E13">
        <v>0.22201095489036002</v>
      </c>
      <c r="J13" s="39">
        <v>42157</v>
      </c>
      <c r="K13" t="s">
        <v>345</v>
      </c>
      <c r="L13">
        <v>1.167646763135672</v>
      </c>
      <c r="M13">
        <v>9.588929705643251E-2</v>
      </c>
      <c r="R13" s="39">
        <v>42157</v>
      </c>
      <c r="S13" t="s">
        <v>346</v>
      </c>
      <c r="T13">
        <v>1.4397743472806994</v>
      </c>
      <c r="U13">
        <v>0.12118057859608349</v>
      </c>
    </row>
    <row r="14" spans="2:21">
      <c r="B14" s="39">
        <v>42157</v>
      </c>
      <c r="C14" t="s">
        <v>337</v>
      </c>
      <c r="D14">
        <v>0.87983764432708567</v>
      </c>
      <c r="E14">
        <v>0.47464318998493238</v>
      </c>
      <c r="J14" s="39">
        <v>42157</v>
      </c>
      <c r="K14" t="s">
        <v>346</v>
      </c>
      <c r="L14">
        <v>1.4397743472806994</v>
      </c>
      <c r="M14">
        <v>0.12118057859608349</v>
      </c>
      <c r="R14" s="39">
        <v>42157</v>
      </c>
      <c r="S14" t="s">
        <v>347</v>
      </c>
      <c r="T14">
        <v>0.8761991697446414</v>
      </c>
      <c r="U14">
        <v>8.2224274531680533E-2</v>
      </c>
    </row>
    <row r="15" spans="2:21">
      <c r="B15" s="39">
        <v>42157</v>
      </c>
      <c r="C15" t="s">
        <v>338</v>
      </c>
      <c r="D15">
        <v>1.3740647395703494</v>
      </c>
      <c r="E15">
        <v>9.2189200263448914E-2</v>
      </c>
      <c r="J15" s="39">
        <v>42157</v>
      </c>
      <c r="K15" t="s">
        <v>347</v>
      </c>
      <c r="L15">
        <v>0.8761991697446414</v>
      </c>
      <c r="M15">
        <v>8.2224274531680533E-2</v>
      </c>
      <c r="R15" s="39">
        <v>42157</v>
      </c>
      <c r="S15" t="s">
        <v>348</v>
      </c>
      <c r="T15">
        <v>1.1997746146975072</v>
      </c>
      <c r="U15">
        <v>0.12531372976871374</v>
      </c>
    </row>
    <row r="16" spans="2:21">
      <c r="B16" s="39">
        <v>42158</v>
      </c>
      <c r="C16" t="s">
        <v>344</v>
      </c>
      <c r="D16">
        <v>1.4175494256673742</v>
      </c>
      <c r="E16">
        <v>0.2135612497527512</v>
      </c>
      <c r="J16" s="39">
        <v>42157</v>
      </c>
      <c r="K16" t="s">
        <v>348</v>
      </c>
      <c r="L16">
        <v>1.1997746146975072</v>
      </c>
      <c r="M16">
        <v>0.12531372976871374</v>
      </c>
      <c r="R16" s="39">
        <v>42157</v>
      </c>
      <c r="S16" t="s">
        <v>349</v>
      </c>
      <c r="T16">
        <v>0.99567789605550161</v>
      </c>
      <c r="U16">
        <v>0.12090398712856154</v>
      </c>
    </row>
    <row r="17" spans="2:21">
      <c r="B17" s="39">
        <v>42158</v>
      </c>
      <c r="C17" t="s">
        <v>354</v>
      </c>
      <c r="D17">
        <v>1.4803282714703285</v>
      </c>
      <c r="E17">
        <v>0.22270398659073332</v>
      </c>
      <c r="J17" s="39">
        <v>42157</v>
      </c>
      <c r="K17" t="s">
        <v>349</v>
      </c>
      <c r="L17">
        <v>0.99567789605550161</v>
      </c>
      <c r="M17">
        <v>0.12090398712856154</v>
      </c>
      <c r="R17" s="39">
        <v>42157</v>
      </c>
      <c r="S17" t="s">
        <v>350</v>
      </c>
      <c r="T17">
        <v>1.3426733456407218</v>
      </c>
      <c r="U17">
        <v>0.13203824906273159</v>
      </c>
    </row>
    <row r="18" spans="2:21">
      <c r="B18" s="39">
        <v>42158</v>
      </c>
      <c r="C18" t="s">
        <v>337</v>
      </c>
      <c r="D18">
        <v>0.88035995770635167</v>
      </c>
      <c r="E18">
        <v>0.47479669651070544</v>
      </c>
      <c r="J18" s="39">
        <v>42157</v>
      </c>
      <c r="K18" t="s">
        <v>350</v>
      </c>
      <c r="L18">
        <v>1.3426733456407218</v>
      </c>
      <c r="M18">
        <v>0.13203824906273159</v>
      </c>
      <c r="R18" s="39">
        <v>42157</v>
      </c>
      <c r="S18" t="s">
        <v>351</v>
      </c>
      <c r="T18">
        <v>1.1727816824454906</v>
      </c>
      <c r="U18">
        <v>0.11771600858000501</v>
      </c>
    </row>
    <row r="19" spans="2:21">
      <c r="B19" s="39">
        <v>42158</v>
      </c>
      <c r="C19" t="s">
        <v>338</v>
      </c>
      <c r="D19">
        <v>1.3623412668010231</v>
      </c>
      <c r="E19">
        <v>9.1422816844254212E-2</v>
      </c>
      <c r="J19" s="39">
        <v>42157</v>
      </c>
      <c r="K19" t="s">
        <v>351</v>
      </c>
      <c r="L19">
        <v>1.1727816824454906</v>
      </c>
      <c r="M19">
        <v>0.11771600858000501</v>
      </c>
      <c r="R19" s="39">
        <v>42157</v>
      </c>
      <c r="S19" t="s">
        <v>352</v>
      </c>
      <c r="T19">
        <v>1.0325365204689116</v>
      </c>
      <c r="U19">
        <v>0.10747317464629434</v>
      </c>
    </row>
    <row r="20" spans="2:21">
      <c r="B20" s="39">
        <v>42159</v>
      </c>
      <c r="C20" t="s">
        <v>344</v>
      </c>
      <c r="D20">
        <v>1.4385705251095222</v>
      </c>
      <c r="E20">
        <v>0.21723730905363708</v>
      </c>
      <c r="J20" s="39">
        <v>42157</v>
      </c>
      <c r="K20" t="s">
        <v>352</v>
      </c>
      <c r="L20">
        <v>1.0325365204689116</v>
      </c>
      <c r="M20">
        <v>0.10747317464629434</v>
      </c>
      <c r="R20" s="39">
        <v>42157</v>
      </c>
      <c r="S20" t="s">
        <v>353</v>
      </c>
      <c r="T20">
        <v>1.4808316127259697</v>
      </c>
      <c r="U20">
        <v>0.15155051965208802</v>
      </c>
    </row>
    <row r="21" spans="2:21">
      <c r="B21" s="39">
        <v>42159</v>
      </c>
      <c r="C21" t="s">
        <v>354</v>
      </c>
      <c r="D21">
        <v>1.5019989453479403</v>
      </c>
      <c r="E21">
        <v>0.22640959866878785</v>
      </c>
      <c r="J21" s="39">
        <v>42157</v>
      </c>
      <c r="K21" t="s">
        <v>353</v>
      </c>
      <c r="L21">
        <v>1.4808316127259697</v>
      </c>
      <c r="M21">
        <v>0.15155051965208802</v>
      </c>
      <c r="R21" s="39">
        <v>42157</v>
      </c>
      <c r="S21" t="s">
        <v>355</v>
      </c>
      <c r="T21">
        <v>1.0601104286206209</v>
      </c>
      <c r="U21">
        <v>0.11236145489839273</v>
      </c>
    </row>
    <row r="22" spans="2:21">
      <c r="B22" s="39">
        <v>42159</v>
      </c>
      <c r="C22" t="s">
        <v>337</v>
      </c>
      <c r="D22">
        <v>0.87610077903416361</v>
      </c>
      <c r="E22">
        <v>0.47389052569415213</v>
      </c>
      <c r="J22" s="39">
        <v>42157</v>
      </c>
      <c r="K22" t="s">
        <v>354</v>
      </c>
      <c r="L22">
        <v>1.4786679943441068</v>
      </c>
      <c r="M22">
        <v>0.22201095489036002</v>
      </c>
      <c r="R22" s="39">
        <v>42157</v>
      </c>
      <c r="S22" t="s">
        <v>356</v>
      </c>
      <c r="T22">
        <v>0.73544144683642776</v>
      </c>
      <c r="U22">
        <v>9.3522422326357255E-2</v>
      </c>
    </row>
    <row r="23" spans="2:21">
      <c r="B23" s="39">
        <v>42159</v>
      </c>
      <c r="C23" t="s">
        <v>338</v>
      </c>
      <c r="D23">
        <v>1.3623412668010231</v>
      </c>
      <c r="E23">
        <v>9.1422816844254212E-2</v>
      </c>
      <c r="J23" s="39">
        <v>42157</v>
      </c>
      <c r="K23" t="s">
        <v>355</v>
      </c>
      <c r="L23">
        <v>1.0601104286206209</v>
      </c>
      <c r="M23">
        <v>0.11236145489839273</v>
      </c>
      <c r="R23" s="39">
        <v>42157</v>
      </c>
      <c r="S23" t="s">
        <v>357</v>
      </c>
      <c r="T23">
        <v>1.0217467096967467</v>
      </c>
      <c r="U23">
        <v>0.1032483818262727</v>
      </c>
    </row>
    <row r="24" spans="2:21">
      <c r="B24" s="39">
        <v>42160</v>
      </c>
      <c r="C24" t="s">
        <v>344</v>
      </c>
      <c r="D24">
        <v>1.4319758683998063</v>
      </c>
      <c r="E24">
        <v>0.2157001473814156</v>
      </c>
      <c r="J24" s="39">
        <v>42157</v>
      </c>
      <c r="K24" t="s">
        <v>356</v>
      </c>
      <c r="L24">
        <v>0.73544144683642776</v>
      </c>
      <c r="M24">
        <v>9.3522422326357255E-2</v>
      </c>
      <c r="R24" s="39">
        <v>42157</v>
      </c>
      <c r="S24" t="s">
        <v>358</v>
      </c>
      <c r="T24">
        <v>1.2665868555987712</v>
      </c>
      <c r="U24">
        <v>0.12021771991043995</v>
      </c>
    </row>
    <row r="25" spans="2:21">
      <c r="B25" s="39">
        <v>42160</v>
      </c>
      <c r="C25" t="s">
        <v>354</v>
      </c>
      <c r="D25">
        <v>1.4939197133982673</v>
      </c>
      <c r="E25">
        <v>0.22467311641694376</v>
      </c>
      <c r="J25" s="39">
        <v>42157</v>
      </c>
      <c r="K25" t="s">
        <v>357</v>
      </c>
      <c r="L25">
        <v>1.0217467096967467</v>
      </c>
      <c r="M25">
        <v>0.1032483818262727</v>
      </c>
      <c r="R25" s="39">
        <v>42157</v>
      </c>
      <c r="S25" t="s">
        <v>359</v>
      </c>
      <c r="T25">
        <v>1.2632947641771053</v>
      </c>
      <c r="U25">
        <v>0.1395549521668939</v>
      </c>
    </row>
    <row r="26" spans="2:21">
      <c r="B26" s="39">
        <v>42160</v>
      </c>
      <c r="C26" t="s">
        <v>337</v>
      </c>
      <c r="D26">
        <v>0.8718212116933105</v>
      </c>
      <c r="E26">
        <v>0.4720726065684781</v>
      </c>
      <c r="J26" s="39">
        <v>42157</v>
      </c>
      <c r="K26" t="s">
        <v>358</v>
      </c>
      <c r="L26">
        <v>1.2665868555987712</v>
      </c>
      <c r="M26">
        <v>0.12021771991043995</v>
      </c>
      <c r="R26" s="39">
        <v>42157</v>
      </c>
      <c r="S26" t="s">
        <v>360</v>
      </c>
      <c r="T26">
        <v>1.110774192250886</v>
      </c>
      <c r="U26">
        <v>0.1075726803038386</v>
      </c>
    </row>
    <row r="27" spans="2:21">
      <c r="B27" s="39">
        <v>42160</v>
      </c>
      <c r="C27" t="s">
        <v>338</v>
      </c>
      <c r="D27">
        <v>1.3623412668010231</v>
      </c>
      <c r="E27">
        <v>9.1422816844254212E-2</v>
      </c>
      <c r="J27" s="39">
        <v>42157</v>
      </c>
      <c r="K27" t="s">
        <v>359</v>
      </c>
      <c r="L27">
        <v>1.2632947641771053</v>
      </c>
      <c r="M27">
        <v>0.1395549521668939</v>
      </c>
      <c r="R27" s="39">
        <v>42157</v>
      </c>
      <c r="S27" t="s">
        <v>361</v>
      </c>
      <c r="T27">
        <v>0.94819419709258712</v>
      </c>
      <c r="U27">
        <v>9.7953782737034617E-2</v>
      </c>
    </row>
    <row r="28" spans="2:21">
      <c r="B28" s="39">
        <v>42163</v>
      </c>
      <c r="C28" t="s">
        <v>344</v>
      </c>
      <c r="D28">
        <v>1.4416462636635623</v>
      </c>
      <c r="E28">
        <v>0.21720894056848902</v>
      </c>
      <c r="J28" s="39">
        <v>42157</v>
      </c>
      <c r="K28" t="s">
        <v>360</v>
      </c>
      <c r="L28">
        <v>1.110774192250886</v>
      </c>
      <c r="M28">
        <v>0.1075726803038386</v>
      </c>
      <c r="R28" s="39">
        <v>42157</v>
      </c>
      <c r="S28" t="s">
        <v>362</v>
      </c>
      <c r="T28">
        <v>1.2985234032194704</v>
      </c>
      <c r="U28">
        <v>0.17018519104831153</v>
      </c>
    </row>
    <row r="29" spans="2:21">
      <c r="B29" s="39">
        <v>42163</v>
      </c>
      <c r="C29" t="s">
        <v>354</v>
      </c>
      <c r="D29">
        <v>1.5028059016778115</v>
      </c>
      <c r="E29">
        <v>0.22607735007062438</v>
      </c>
      <c r="J29" s="39">
        <v>42157</v>
      </c>
      <c r="K29" t="s">
        <v>361</v>
      </c>
      <c r="L29">
        <v>0.94819419709258712</v>
      </c>
      <c r="M29">
        <v>9.7953782737034617E-2</v>
      </c>
      <c r="R29" s="39">
        <v>42157</v>
      </c>
      <c r="S29" t="s">
        <v>363</v>
      </c>
      <c r="T29">
        <v>1.3427946627199865</v>
      </c>
      <c r="U29">
        <v>0.15043711012799299</v>
      </c>
    </row>
    <row r="30" spans="2:21">
      <c r="B30" s="39">
        <v>42163</v>
      </c>
      <c r="C30" t="s">
        <v>337</v>
      </c>
      <c r="D30">
        <v>0.87345767849394651</v>
      </c>
      <c r="E30">
        <v>0.47332869135570305</v>
      </c>
      <c r="J30" s="39">
        <v>42157</v>
      </c>
      <c r="K30" t="s">
        <v>362</v>
      </c>
      <c r="L30">
        <v>1.2985234032194704</v>
      </c>
      <c r="M30">
        <v>0.17018519104831153</v>
      </c>
      <c r="R30" s="39">
        <v>42158</v>
      </c>
      <c r="S30" t="s">
        <v>345</v>
      </c>
      <c r="T30">
        <v>1.1640941336417172</v>
      </c>
      <c r="U30">
        <v>9.5612846587808387E-2</v>
      </c>
    </row>
    <row r="31" spans="2:21">
      <c r="B31" s="39">
        <v>42163</v>
      </c>
      <c r="C31" t="s">
        <v>338</v>
      </c>
      <c r="D31">
        <v>1.3623412668010231</v>
      </c>
      <c r="E31">
        <v>9.1422816844254212E-2</v>
      </c>
      <c r="J31" s="39">
        <v>42157</v>
      </c>
      <c r="K31" t="s">
        <v>363</v>
      </c>
      <c r="L31">
        <v>1.3427946627199865</v>
      </c>
      <c r="M31">
        <v>0.15043711012799299</v>
      </c>
      <c r="R31" s="39">
        <v>42158</v>
      </c>
      <c r="S31" t="s">
        <v>346</v>
      </c>
      <c r="T31">
        <v>1.4397743472806994</v>
      </c>
      <c r="U31">
        <v>0.12118057859608349</v>
      </c>
    </row>
    <row r="32" spans="2:21">
      <c r="B32" s="39">
        <v>42164</v>
      </c>
      <c r="C32" t="s">
        <v>344</v>
      </c>
      <c r="D32">
        <v>1.4415209589489215</v>
      </c>
      <c r="E32">
        <v>0.21717143659394442</v>
      </c>
      <c r="J32" s="39">
        <v>42157</v>
      </c>
      <c r="K32" t="s">
        <v>337</v>
      </c>
      <c r="L32">
        <v>0.87983764432708567</v>
      </c>
      <c r="M32">
        <v>0.47464318998493238</v>
      </c>
      <c r="R32" s="39">
        <v>42158</v>
      </c>
      <c r="S32" t="s">
        <v>347</v>
      </c>
      <c r="T32">
        <v>0.87710861836201803</v>
      </c>
      <c r="U32">
        <v>8.2325298134163782E-2</v>
      </c>
    </row>
    <row r="33" spans="2:21">
      <c r="B33" s="39">
        <v>42164</v>
      </c>
      <c r="C33" t="s">
        <v>354</v>
      </c>
      <c r="D33">
        <v>1.5026612860225013</v>
      </c>
      <c r="E33">
        <v>0.22602966514246789</v>
      </c>
      <c r="J33" s="39">
        <v>42157</v>
      </c>
      <c r="K33" t="s">
        <v>338</v>
      </c>
      <c r="L33">
        <v>1.3740647395703494</v>
      </c>
      <c r="M33">
        <v>9.2189200263448914E-2</v>
      </c>
      <c r="R33" s="39">
        <v>42158</v>
      </c>
      <c r="S33" t="s">
        <v>348</v>
      </c>
      <c r="T33">
        <v>1.1973056667712572</v>
      </c>
      <c r="U33">
        <v>0.12506315700511528</v>
      </c>
    </row>
    <row r="34" spans="2:21">
      <c r="B34" s="39">
        <v>42164</v>
      </c>
      <c r="C34" t="s">
        <v>337</v>
      </c>
      <c r="D34">
        <v>0.87336465488330151</v>
      </c>
      <c r="E34">
        <v>0.47298383263677679</v>
      </c>
      <c r="J34" s="39">
        <v>42158</v>
      </c>
      <c r="K34" t="s">
        <v>344</v>
      </c>
      <c r="L34">
        <v>1.4175494256673742</v>
      </c>
      <c r="M34">
        <v>0.2135612497527512</v>
      </c>
      <c r="R34" s="39">
        <v>42158</v>
      </c>
      <c r="S34" t="s">
        <v>349</v>
      </c>
      <c r="T34">
        <v>0.99626278515189048</v>
      </c>
      <c r="U34">
        <v>0.1210179282637017</v>
      </c>
    </row>
    <row r="35" spans="2:21">
      <c r="B35" s="39">
        <v>42164</v>
      </c>
      <c r="C35" t="s">
        <v>338</v>
      </c>
      <c r="D35">
        <v>1.3632604493889169</v>
      </c>
      <c r="E35">
        <v>9.1480722028122546E-2</v>
      </c>
      <c r="J35" s="39">
        <v>42158</v>
      </c>
      <c r="K35" t="s">
        <v>345</v>
      </c>
      <c r="L35">
        <v>1.1640941336417172</v>
      </c>
      <c r="M35">
        <v>9.5612846587808387E-2</v>
      </c>
      <c r="R35" s="39">
        <v>42158</v>
      </c>
      <c r="S35" t="s">
        <v>350</v>
      </c>
      <c r="T35">
        <v>1.3426733456407218</v>
      </c>
      <c r="U35">
        <v>0.13203824906273159</v>
      </c>
    </row>
    <row r="36" spans="2:21">
      <c r="B36" s="39">
        <v>42165</v>
      </c>
      <c r="C36" t="s">
        <v>344</v>
      </c>
      <c r="D36">
        <v>1.4434693699344201</v>
      </c>
      <c r="E36">
        <v>0.21849499971436256</v>
      </c>
      <c r="J36" s="39">
        <v>42158</v>
      </c>
      <c r="K36" t="s">
        <v>346</v>
      </c>
      <c r="L36">
        <v>1.4397743472806994</v>
      </c>
      <c r="M36">
        <v>0.12118057859608349</v>
      </c>
      <c r="R36" s="39">
        <v>42158</v>
      </c>
      <c r="S36" t="s">
        <v>351</v>
      </c>
      <c r="T36">
        <v>1.1690357100675446</v>
      </c>
      <c r="U36">
        <v>0.11732220162698137</v>
      </c>
    </row>
    <row r="37" spans="2:21">
      <c r="B37" s="39">
        <v>42165</v>
      </c>
      <c r="C37" t="s">
        <v>354</v>
      </c>
      <c r="D37">
        <v>1.5086014908242693</v>
      </c>
      <c r="E37">
        <v>0.22794214086758588</v>
      </c>
      <c r="J37" s="39">
        <v>42158</v>
      </c>
      <c r="K37" t="s">
        <v>347</v>
      </c>
      <c r="L37">
        <v>0.87710861836201803</v>
      </c>
      <c r="M37">
        <v>8.2325298134163782E-2</v>
      </c>
      <c r="R37" s="39">
        <v>42158</v>
      </c>
      <c r="S37" t="s">
        <v>352</v>
      </c>
      <c r="T37">
        <v>1.0329522746485114</v>
      </c>
      <c r="U37">
        <v>0.10753404645444443</v>
      </c>
    </row>
    <row r="38" spans="2:21">
      <c r="B38" s="39">
        <v>42165</v>
      </c>
      <c r="C38" t="s">
        <v>337</v>
      </c>
      <c r="D38">
        <v>0.86897719916270899</v>
      </c>
      <c r="E38">
        <v>0.47284312935115747</v>
      </c>
      <c r="J38" s="39">
        <v>42158</v>
      </c>
      <c r="K38" t="s">
        <v>348</v>
      </c>
      <c r="L38">
        <v>1.1973056667712572</v>
      </c>
      <c r="M38">
        <v>0.12506315700511528</v>
      </c>
      <c r="R38" s="39">
        <v>42158</v>
      </c>
      <c r="S38" t="s">
        <v>353</v>
      </c>
      <c r="T38">
        <v>1.4827821065934317</v>
      </c>
      <c r="U38">
        <v>0.15179511734768439</v>
      </c>
    </row>
    <row r="39" spans="2:21">
      <c r="B39" s="39">
        <v>42165</v>
      </c>
      <c r="C39" t="s">
        <v>338</v>
      </c>
      <c r="D39">
        <v>1.3632604493889169</v>
      </c>
      <c r="E39">
        <v>9.1480722028122546E-2</v>
      </c>
      <c r="J39" s="39">
        <v>42158</v>
      </c>
      <c r="K39" t="s">
        <v>349</v>
      </c>
      <c r="L39">
        <v>0.99626278515189048</v>
      </c>
      <c r="M39">
        <v>0.1210179282637017</v>
      </c>
      <c r="R39" s="39">
        <v>42158</v>
      </c>
      <c r="S39" t="s">
        <v>355</v>
      </c>
      <c r="T39">
        <v>1.0599352959838582</v>
      </c>
      <c r="U39">
        <v>0.1123806952509227</v>
      </c>
    </row>
    <row r="40" spans="2:21">
      <c r="B40" s="39">
        <v>42166</v>
      </c>
      <c r="C40" t="s">
        <v>344</v>
      </c>
      <c r="D40">
        <v>1.4457644972695398</v>
      </c>
      <c r="E40">
        <v>0.21847850941701</v>
      </c>
      <c r="J40" s="39">
        <v>42158</v>
      </c>
      <c r="K40" t="s">
        <v>350</v>
      </c>
      <c r="L40">
        <v>1.3426733456407218</v>
      </c>
      <c r="M40">
        <v>0.13203824906273159</v>
      </c>
      <c r="R40" s="39">
        <v>42158</v>
      </c>
      <c r="S40" t="s">
        <v>356</v>
      </c>
      <c r="T40">
        <v>0.7350058185216406</v>
      </c>
      <c r="U40">
        <v>9.347547903594354E-2</v>
      </c>
    </row>
    <row r="41" spans="2:21">
      <c r="B41" s="39">
        <v>42166</v>
      </c>
      <c r="C41" t="s">
        <v>354</v>
      </c>
      <c r="D41">
        <v>1.5071294756694908</v>
      </c>
      <c r="E41">
        <v>0.22745494142184777</v>
      </c>
      <c r="J41" s="39">
        <v>42158</v>
      </c>
      <c r="K41" t="s">
        <v>351</v>
      </c>
      <c r="L41">
        <v>1.1690357100675446</v>
      </c>
      <c r="M41">
        <v>0.11732220162698137</v>
      </c>
      <c r="R41" s="39">
        <v>42158</v>
      </c>
      <c r="S41" t="s">
        <v>357</v>
      </c>
      <c r="T41">
        <v>1.0235013200275935</v>
      </c>
      <c r="U41">
        <v>0.10328882910610807</v>
      </c>
    </row>
    <row r="42" spans="2:21">
      <c r="B42" s="39">
        <v>42166</v>
      </c>
      <c r="C42" t="s">
        <v>337</v>
      </c>
      <c r="D42">
        <v>0.87003395486676793</v>
      </c>
      <c r="E42">
        <v>0.47320093424647963</v>
      </c>
      <c r="J42" s="39">
        <v>42158</v>
      </c>
      <c r="K42" t="s">
        <v>352</v>
      </c>
      <c r="L42">
        <v>1.0329522746485114</v>
      </c>
      <c r="M42">
        <v>0.10753404645444443</v>
      </c>
      <c r="R42" s="39">
        <v>42158</v>
      </c>
      <c r="S42" t="s">
        <v>358</v>
      </c>
      <c r="T42">
        <v>1.2677928349196255</v>
      </c>
      <c r="U42">
        <v>0.12035514459327012</v>
      </c>
    </row>
    <row r="43" spans="2:21">
      <c r="B43" s="39">
        <v>42166</v>
      </c>
      <c r="C43" t="s">
        <v>338</v>
      </c>
      <c r="D43">
        <v>1.3632604493889169</v>
      </c>
      <c r="E43">
        <v>9.1480722028122546E-2</v>
      </c>
      <c r="J43" s="39">
        <v>42158</v>
      </c>
      <c r="K43" t="s">
        <v>353</v>
      </c>
      <c r="L43">
        <v>1.4827821065934317</v>
      </c>
      <c r="M43">
        <v>0.15179511734768439</v>
      </c>
      <c r="R43" s="39">
        <v>42158</v>
      </c>
      <c r="S43" t="s">
        <v>359</v>
      </c>
      <c r="T43">
        <v>1.2650992747056207</v>
      </c>
      <c r="U43">
        <v>0.13983452395094018</v>
      </c>
    </row>
    <row r="44" spans="2:21">
      <c r="B44" s="39">
        <v>42167</v>
      </c>
      <c r="C44" t="s">
        <v>344</v>
      </c>
      <c r="D44">
        <v>1.4450503889602491</v>
      </c>
      <c r="E44">
        <v>0.21836532760896607</v>
      </c>
      <c r="J44" s="39">
        <v>42158</v>
      </c>
      <c r="K44" t="s">
        <v>354</v>
      </c>
      <c r="L44">
        <v>1.4803282714703285</v>
      </c>
      <c r="M44">
        <v>0.22270398659073332</v>
      </c>
      <c r="R44" s="39">
        <v>42158</v>
      </c>
      <c r="S44" t="s">
        <v>360</v>
      </c>
      <c r="T44">
        <v>1.1103211331708054</v>
      </c>
      <c r="U44">
        <v>0.10754603922781536</v>
      </c>
    </row>
    <row r="45" spans="2:21">
      <c r="B45" s="39">
        <v>42167</v>
      </c>
      <c r="C45" t="s">
        <v>354</v>
      </c>
      <c r="D45">
        <v>1.5071068406045072</v>
      </c>
      <c r="E45">
        <v>0.22744084271344991</v>
      </c>
      <c r="J45" s="39">
        <v>42158</v>
      </c>
      <c r="K45" t="s">
        <v>355</v>
      </c>
      <c r="L45">
        <v>1.0599352959838582</v>
      </c>
      <c r="M45">
        <v>0.1123806952509227</v>
      </c>
      <c r="R45" s="39">
        <v>42158</v>
      </c>
      <c r="S45" t="s">
        <v>361</v>
      </c>
      <c r="T45">
        <v>0.94944853742786439</v>
      </c>
      <c r="U45">
        <v>9.8102089953189545E-2</v>
      </c>
    </row>
    <row r="46" spans="2:21">
      <c r="B46" s="39">
        <v>42167</v>
      </c>
      <c r="C46" t="s">
        <v>337</v>
      </c>
      <c r="D46">
        <v>0.86283839272177065</v>
      </c>
      <c r="E46">
        <v>0.47099092179849156</v>
      </c>
      <c r="J46" s="39">
        <v>42158</v>
      </c>
      <c r="K46" t="s">
        <v>356</v>
      </c>
      <c r="L46">
        <v>0.7350058185216406</v>
      </c>
      <c r="M46">
        <v>9.347547903594354E-2</v>
      </c>
      <c r="R46" s="39">
        <v>42158</v>
      </c>
      <c r="S46" t="s">
        <v>362</v>
      </c>
      <c r="T46">
        <v>1.2980064938492522</v>
      </c>
      <c r="U46">
        <v>0.17014986656720607</v>
      </c>
    </row>
    <row r="47" spans="2:21">
      <c r="B47" s="39">
        <v>42167</v>
      </c>
      <c r="C47" t="s">
        <v>338</v>
      </c>
      <c r="D47">
        <v>1.3632604493889169</v>
      </c>
      <c r="E47">
        <v>9.1480722028122546E-2</v>
      </c>
      <c r="J47" s="39">
        <v>42158</v>
      </c>
      <c r="K47" t="s">
        <v>357</v>
      </c>
      <c r="L47">
        <v>1.0235013200275935</v>
      </c>
      <c r="M47">
        <v>0.10328882910610807</v>
      </c>
      <c r="R47" s="39">
        <v>42158</v>
      </c>
      <c r="S47" t="s">
        <v>363</v>
      </c>
      <c r="T47">
        <v>1.3361199962447314</v>
      </c>
      <c r="U47">
        <v>0.14957555742066542</v>
      </c>
    </row>
    <row r="48" spans="2:21">
      <c r="B48" s="39">
        <v>42170</v>
      </c>
      <c r="C48" t="s">
        <v>344</v>
      </c>
      <c r="D48">
        <v>1.4381579686942738</v>
      </c>
      <c r="E48">
        <v>0.21765790409879393</v>
      </c>
      <c r="J48" s="39">
        <v>42158</v>
      </c>
      <c r="K48" t="s">
        <v>358</v>
      </c>
      <c r="L48">
        <v>1.2677928349196255</v>
      </c>
      <c r="M48">
        <v>0.12035514459327012</v>
      </c>
      <c r="R48" s="39">
        <v>42159</v>
      </c>
      <c r="S48" t="s">
        <v>345</v>
      </c>
      <c r="T48">
        <v>1.158321418862658</v>
      </c>
      <c r="U48">
        <v>9.5635283812485955E-2</v>
      </c>
    </row>
    <row r="49" spans="2:21">
      <c r="B49" s="39">
        <v>42170</v>
      </c>
      <c r="C49" t="s">
        <v>354</v>
      </c>
      <c r="D49">
        <v>1.4994486524141488</v>
      </c>
      <c r="E49">
        <v>0.22664048646935184</v>
      </c>
      <c r="J49" s="39">
        <v>42158</v>
      </c>
      <c r="K49" t="s">
        <v>359</v>
      </c>
      <c r="L49">
        <v>1.2650992747056207</v>
      </c>
      <c r="M49">
        <v>0.13983452395094018</v>
      </c>
      <c r="R49" s="39">
        <v>42159</v>
      </c>
      <c r="S49" t="s">
        <v>346</v>
      </c>
      <c r="T49">
        <v>1.5021483658263541</v>
      </c>
      <c r="U49">
        <v>0.12659793324850155</v>
      </c>
    </row>
    <row r="50" spans="2:21">
      <c r="B50" s="39">
        <v>42170</v>
      </c>
      <c r="C50" t="s">
        <v>337</v>
      </c>
      <c r="D50">
        <v>0.86333341739205904</v>
      </c>
      <c r="E50">
        <v>0.47155271936090809</v>
      </c>
      <c r="J50" s="39">
        <v>42158</v>
      </c>
      <c r="K50" t="s">
        <v>360</v>
      </c>
      <c r="L50">
        <v>1.1103211331708054</v>
      </c>
      <c r="M50">
        <v>0.10754603922781536</v>
      </c>
      <c r="R50" s="39">
        <v>42159</v>
      </c>
      <c r="S50" t="s">
        <v>347</v>
      </c>
      <c r="T50">
        <v>0.9124160039042053</v>
      </c>
      <c r="U50">
        <v>8.5833889628994353E-2</v>
      </c>
    </row>
    <row r="51" spans="2:21">
      <c r="B51" s="39">
        <v>42170</v>
      </c>
      <c r="C51" t="s">
        <v>338</v>
      </c>
      <c r="D51">
        <v>1.3632604493889169</v>
      </c>
      <c r="E51">
        <v>9.1480722028122546E-2</v>
      </c>
      <c r="J51" s="39">
        <v>42158</v>
      </c>
      <c r="K51" t="s">
        <v>361</v>
      </c>
      <c r="L51">
        <v>0.94944853742786439</v>
      </c>
      <c r="M51">
        <v>9.8102089953189545E-2</v>
      </c>
      <c r="R51" s="39">
        <v>42159</v>
      </c>
      <c r="S51" t="s">
        <v>348</v>
      </c>
      <c r="T51">
        <v>1.2024171311993612</v>
      </c>
      <c r="U51">
        <v>0.12541106654569895</v>
      </c>
    </row>
    <row r="52" spans="2:21">
      <c r="B52" s="39">
        <v>42171</v>
      </c>
      <c r="C52" t="s">
        <v>344</v>
      </c>
      <c r="D52">
        <v>1.4328381309056342</v>
      </c>
      <c r="E52">
        <v>0.21706972819090334</v>
      </c>
      <c r="J52" s="39">
        <v>42158</v>
      </c>
      <c r="K52" t="s">
        <v>362</v>
      </c>
      <c r="L52">
        <v>1.2980064938492522</v>
      </c>
      <c r="M52">
        <v>0.17014986656720607</v>
      </c>
      <c r="R52" s="39">
        <v>42159</v>
      </c>
      <c r="S52" t="s">
        <v>349</v>
      </c>
      <c r="T52">
        <v>0.99630918302514504</v>
      </c>
      <c r="U52">
        <v>0.12136464365872883</v>
      </c>
    </row>
    <row r="53" spans="2:21">
      <c r="B53" s="39">
        <v>42171</v>
      </c>
      <c r="C53" t="s">
        <v>354</v>
      </c>
      <c r="D53">
        <v>1.4925872205768222</v>
      </c>
      <c r="E53">
        <v>0.22581822577797478</v>
      </c>
      <c r="J53" s="39">
        <v>42158</v>
      </c>
      <c r="K53" t="s">
        <v>363</v>
      </c>
      <c r="L53">
        <v>1.3361199962447314</v>
      </c>
      <c r="M53">
        <v>0.14957555742066542</v>
      </c>
      <c r="R53" s="39">
        <v>42159</v>
      </c>
      <c r="S53" t="s">
        <v>350</v>
      </c>
      <c r="T53">
        <v>1.3475572700576699</v>
      </c>
      <c r="U53">
        <v>0.13242969937371638</v>
      </c>
    </row>
    <row r="54" spans="2:21">
      <c r="B54" s="39">
        <v>42171</v>
      </c>
      <c r="C54" t="s">
        <v>337</v>
      </c>
      <c r="D54">
        <v>0.85933660015366287</v>
      </c>
      <c r="E54">
        <v>0.46968606052344181</v>
      </c>
      <c r="J54" s="39">
        <v>42158</v>
      </c>
      <c r="K54" t="s">
        <v>337</v>
      </c>
      <c r="L54">
        <v>0.88035995770635167</v>
      </c>
      <c r="M54">
        <v>0.47479669651070544</v>
      </c>
      <c r="R54" s="39">
        <v>42159</v>
      </c>
      <c r="S54" t="s">
        <v>351</v>
      </c>
      <c r="T54">
        <v>1.1928916128240923</v>
      </c>
      <c r="U54">
        <v>0.11994496603235771</v>
      </c>
    </row>
    <row r="55" spans="2:21">
      <c r="B55" s="39">
        <v>42171</v>
      </c>
      <c r="C55" t="s">
        <v>338</v>
      </c>
      <c r="D55">
        <v>1.3632604493889169</v>
      </c>
      <c r="E55">
        <v>9.1480722028122546E-2</v>
      </c>
      <c r="J55" s="39">
        <v>42158</v>
      </c>
      <c r="K55" t="s">
        <v>338</v>
      </c>
      <c r="L55">
        <v>1.3623412668010231</v>
      </c>
      <c r="M55">
        <v>9.1422816844254212E-2</v>
      </c>
      <c r="R55" s="39">
        <v>42159</v>
      </c>
      <c r="S55" t="s">
        <v>352</v>
      </c>
      <c r="T55">
        <v>1.0675350038711997</v>
      </c>
      <c r="U55">
        <v>0.1114143644583359</v>
      </c>
    </row>
    <row r="56" spans="2:21">
      <c r="J56" s="39">
        <v>42159</v>
      </c>
      <c r="K56" t="s">
        <v>344</v>
      </c>
      <c r="L56">
        <v>1.4385705251095222</v>
      </c>
      <c r="M56">
        <v>0.21723730905363708</v>
      </c>
      <c r="R56" s="39">
        <v>42159</v>
      </c>
      <c r="S56" t="s">
        <v>353</v>
      </c>
      <c r="T56">
        <v>1.5473945818897406</v>
      </c>
      <c r="U56">
        <v>0.15846857239321782</v>
      </c>
    </row>
    <row r="57" spans="2:21">
      <c r="J57" s="39">
        <v>42159</v>
      </c>
      <c r="K57" t="s">
        <v>345</v>
      </c>
      <c r="L57">
        <v>1.158321418862658</v>
      </c>
      <c r="M57">
        <v>9.5635283812485955E-2</v>
      </c>
      <c r="R57" s="39">
        <v>42159</v>
      </c>
      <c r="S57" t="s">
        <v>355</v>
      </c>
      <c r="T57">
        <v>1.0599352959838582</v>
      </c>
      <c r="U57">
        <v>0.1123806952509227</v>
      </c>
    </row>
    <row r="58" spans="2:21">
      <c r="J58" s="39">
        <v>42159</v>
      </c>
      <c r="K58" t="s">
        <v>346</v>
      </c>
      <c r="L58">
        <v>1.5021483658263541</v>
      </c>
      <c r="M58">
        <v>0.12659793324850155</v>
      </c>
      <c r="R58" s="39">
        <v>42159</v>
      </c>
      <c r="S58" t="s">
        <v>356</v>
      </c>
      <c r="T58">
        <v>0.7352131948523194</v>
      </c>
      <c r="U58">
        <v>9.379151045402935E-2</v>
      </c>
    </row>
    <row r="59" spans="2:21">
      <c r="J59" s="39">
        <v>42159</v>
      </c>
      <c r="K59" t="s">
        <v>347</v>
      </c>
      <c r="L59">
        <v>0.9124160039042053</v>
      </c>
      <c r="M59">
        <v>8.5833889628994353E-2</v>
      </c>
      <c r="R59" s="39">
        <v>42159</v>
      </c>
      <c r="S59" t="s">
        <v>357</v>
      </c>
      <c r="T59">
        <v>1.0233466783051324</v>
      </c>
      <c r="U59">
        <v>0.10365681722980591</v>
      </c>
    </row>
    <row r="60" spans="2:21">
      <c r="J60" s="39">
        <v>42159</v>
      </c>
      <c r="K60" t="s">
        <v>348</v>
      </c>
      <c r="L60">
        <v>1.2024171311993612</v>
      </c>
      <c r="M60">
        <v>0.12541106654569895</v>
      </c>
      <c r="R60" s="39">
        <v>42159</v>
      </c>
      <c r="S60" t="s">
        <v>358</v>
      </c>
      <c r="T60">
        <v>1.2710550538303553</v>
      </c>
      <c r="U60">
        <v>0.12066425791453204</v>
      </c>
    </row>
    <row r="61" spans="2:21">
      <c r="J61" s="39">
        <v>42159</v>
      </c>
      <c r="K61" t="s">
        <v>349</v>
      </c>
      <c r="L61">
        <v>0.99630918302514504</v>
      </c>
      <c r="M61">
        <v>0.12136464365872883</v>
      </c>
      <c r="R61" s="39">
        <v>42159</v>
      </c>
      <c r="S61" t="s">
        <v>359</v>
      </c>
      <c r="T61">
        <v>1.2659080954846627</v>
      </c>
      <c r="U61">
        <v>0.13990834929761684</v>
      </c>
    </row>
    <row r="62" spans="2:21">
      <c r="J62" s="39">
        <v>42159</v>
      </c>
      <c r="K62" t="s">
        <v>350</v>
      </c>
      <c r="L62">
        <v>1.3475572700576699</v>
      </c>
      <c r="M62">
        <v>0.13242969937371638</v>
      </c>
      <c r="R62" s="39">
        <v>42159</v>
      </c>
      <c r="S62" t="s">
        <v>360</v>
      </c>
      <c r="T62">
        <v>1.1308406262168982</v>
      </c>
      <c r="U62">
        <v>0.10992142583546109</v>
      </c>
    </row>
    <row r="63" spans="2:21">
      <c r="J63" s="39">
        <v>42159</v>
      </c>
      <c r="K63" t="s">
        <v>351</v>
      </c>
      <c r="L63">
        <v>1.1928916128240923</v>
      </c>
      <c r="M63">
        <v>0.11994496603235771</v>
      </c>
      <c r="R63" s="39">
        <v>42159</v>
      </c>
      <c r="S63" t="s">
        <v>361</v>
      </c>
      <c r="T63">
        <v>1.0216306162634912</v>
      </c>
      <c r="U63">
        <v>0.10529226907252125</v>
      </c>
    </row>
    <row r="64" spans="2:21">
      <c r="J64" s="39">
        <v>42159</v>
      </c>
      <c r="K64" t="s">
        <v>352</v>
      </c>
      <c r="L64">
        <v>1.0675350038711997</v>
      </c>
      <c r="M64">
        <v>0.1114143644583359</v>
      </c>
      <c r="R64" s="39">
        <v>42159</v>
      </c>
      <c r="S64" t="s">
        <v>362</v>
      </c>
      <c r="T64">
        <v>1.2940961065953243</v>
      </c>
      <c r="U64">
        <v>0.17012151949308399</v>
      </c>
    </row>
    <row r="65" spans="10:21">
      <c r="J65" s="39">
        <v>42159</v>
      </c>
      <c r="K65" t="s">
        <v>353</v>
      </c>
      <c r="L65">
        <v>1.5473945818897406</v>
      </c>
      <c r="M65">
        <v>0.15846857239321782</v>
      </c>
      <c r="R65" s="39">
        <v>42159</v>
      </c>
      <c r="S65" t="s">
        <v>363</v>
      </c>
      <c r="T65">
        <v>1.3310316344060409</v>
      </c>
      <c r="U65">
        <v>0.14958255464416462</v>
      </c>
    </row>
    <row r="66" spans="10:21">
      <c r="J66" s="39">
        <v>42159</v>
      </c>
      <c r="K66" t="s">
        <v>354</v>
      </c>
      <c r="L66">
        <v>1.5019989453479403</v>
      </c>
      <c r="M66">
        <v>0.22640959866878785</v>
      </c>
      <c r="R66" s="39">
        <v>42160</v>
      </c>
      <c r="S66" t="s">
        <v>345</v>
      </c>
      <c r="T66">
        <v>1.1593018301007294</v>
      </c>
      <c r="U66">
        <v>9.5730379768488763E-2</v>
      </c>
    </row>
    <row r="67" spans="10:21">
      <c r="J67" s="39">
        <v>42159</v>
      </c>
      <c r="K67" t="s">
        <v>355</v>
      </c>
      <c r="L67">
        <v>1.0599352959838582</v>
      </c>
      <c r="M67">
        <v>0.1123806952509227</v>
      </c>
      <c r="R67" s="39">
        <v>42160</v>
      </c>
      <c r="S67" t="s">
        <v>346</v>
      </c>
      <c r="T67">
        <v>1.4946150562162179</v>
      </c>
      <c r="U67">
        <v>0.12583380009788317</v>
      </c>
    </row>
    <row r="68" spans="10:21">
      <c r="J68" s="39">
        <v>42159</v>
      </c>
      <c r="K68" t="s">
        <v>356</v>
      </c>
      <c r="L68">
        <v>0.7352131948523194</v>
      </c>
      <c r="M68">
        <v>9.379151045402935E-2</v>
      </c>
      <c r="R68" s="39">
        <v>42160</v>
      </c>
      <c r="S68" t="s">
        <v>347</v>
      </c>
      <c r="T68">
        <v>0.9124160039042053</v>
      </c>
      <c r="U68">
        <v>8.5833889628994353E-2</v>
      </c>
    </row>
    <row r="69" spans="10:21">
      <c r="J69" s="39">
        <v>42159</v>
      </c>
      <c r="K69" t="s">
        <v>357</v>
      </c>
      <c r="L69">
        <v>1.0233466783051324</v>
      </c>
      <c r="M69">
        <v>0.10365681722980591</v>
      </c>
      <c r="R69" s="39">
        <v>42160</v>
      </c>
      <c r="S69" t="s">
        <v>348</v>
      </c>
      <c r="T69">
        <v>1.2054970725413032</v>
      </c>
      <c r="U69">
        <v>0.12572265240017474</v>
      </c>
    </row>
    <row r="70" spans="10:21">
      <c r="J70" s="39">
        <v>42159</v>
      </c>
      <c r="K70" t="s">
        <v>358</v>
      </c>
      <c r="L70">
        <v>1.2710550538303553</v>
      </c>
      <c r="M70">
        <v>0.12066425791453204</v>
      </c>
      <c r="R70" s="39">
        <v>42160</v>
      </c>
      <c r="S70" t="s">
        <v>349</v>
      </c>
      <c r="T70">
        <v>0.99702181002649692</v>
      </c>
      <c r="U70">
        <v>0.12129443463033351</v>
      </c>
    </row>
    <row r="71" spans="10:21">
      <c r="J71" s="39">
        <v>42159</v>
      </c>
      <c r="K71" t="s">
        <v>359</v>
      </c>
      <c r="L71">
        <v>1.2659080954846627</v>
      </c>
      <c r="M71">
        <v>0.13990834929761684</v>
      </c>
      <c r="R71" s="39">
        <v>42160</v>
      </c>
      <c r="S71" t="s">
        <v>350</v>
      </c>
      <c r="T71">
        <v>1.3475572700576699</v>
      </c>
      <c r="U71">
        <v>0.13242969937371638</v>
      </c>
    </row>
    <row r="72" spans="10:21">
      <c r="J72" s="39">
        <v>42159</v>
      </c>
      <c r="K72" t="s">
        <v>360</v>
      </c>
      <c r="L72">
        <v>1.1308406262168982</v>
      </c>
      <c r="M72">
        <v>0.10992142583546109</v>
      </c>
      <c r="R72" s="39">
        <v>42160</v>
      </c>
      <c r="S72" t="s">
        <v>351</v>
      </c>
      <c r="T72">
        <v>1.1928916128240923</v>
      </c>
      <c r="U72">
        <v>0.11994496603235771</v>
      </c>
    </row>
    <row r="73" spans="10:21">
      <c r="J73" s="39">
        <v>42159</v>
      </c>
      <c r="K73" t="s">
        <v>361</v>
      </c>
      <c r="L73">
        <v>1.0216306162634912</v>
      </c>
      <c r="M73">
        <v>0.10529226907252125</v>
      </c>
      <c r="R73" s="39">
        <v>42160</v>
      </c>
      <c r="S73" t="s">
        <v>352</v>
      </c>
      <c r="T73">
        <v>1.0510274090322125</v>
      </c>
      <c r="U73">
        <v>0.10952861307267484</v>
      </c>
    </row>
    <row r="74" spans="10:21">
      <c r="J74" s="39">
        <v>42159</v>
      </c>
      <c r="K74" t="s">
        <v>362</v>
      </c>
      <c r="L74">
        <v>1.2940961065953243</v>
      </c>
      <c r="M74">
        <v>0.17012151949308399</v>
      </c>
      <c r="R74" s="39">
        <v>42160</v>
      </c>
      <c r="S74" t="s">
        <v>353</v>
      </c>
      <c r="T74">
        <v>1.5414925987207662</v>
      </c>
      <c r="U74">
        <v>0.15779428599929765</v>
      </c>
    </row>
    <row r="75" spans="10:21">
      <c r="J75" s="39">
        <v>42159</v>
      </c>
      <c r="K75" t="s">
        <v>363</v>
      </c>
      <c r="L75">
        <v>1.3310316344060409</v>
      </c>
      <c r="M75">
        <v>0.14958255464416462</v>
      </c>
      <c r="R75" s="39">
        <v>42160</v>
      </c>
      <c r="S75" t="s">
        <v>355</v>
      </c>
      <c r="T75">
        <v>1.0607270910888102</v>
      </c>
      <c r="U75">
        <v>0.11227797357097488</v>
      </c>
    </row>
    <row r="76" spans="10:21">
      <c r="J76" s="39">
        <v>42159</v>
      </c>
      <c r="K76" t="s">
        <v>337</v>
      </c>
      <c r="L76">
        <v>0.87610077903416361</v>
      </c>
      <c r="M76">
        <v>0.47389052569415213</v>
      </c>
      <c r="R76" s="39">
        <v>42160</v>
      </c>
      <c r="S76" t="s">
        <v>356</v>
      </c>
      <c r="T76">
        <v>0.74222933856415707</v>
      </c>
      <c r="U76">
        <v>9.4498314087775107E-2</v>
      </c>
    </row>
    <row r="77" spans="10:21">
      <c r="J77" s="39">
        <v>42159</v>
      </c>
      <c r="K77" t="s">
        <v>338</v>
      </c>
      <c r="L77">
        <v>1.3623412668010231</v>
      </c>
      <c r="M77">
        <v>9.1422816844254212E-2</v>
      </c>
      <c r="R77" s="39">
        <v>42160</v>
      </c>
      <c r="S77" t="s">
        <v>357</v>
      </c>
      <c r="T77">
        <v>1.0221471144432164</v>
      </c>
      <c r="U77">
        <v>0.1035540699945776</v>
      </c>
    </row>
    <row r="78" spans="10:21">
      <c r="J78" s="39">
        <v>42160</v>
      </c>
      <c r="K78" t="s">
        <v>344</v>
      </c>
      <c r="L78">
        <v>1.4319758683998063</v>
      </c>
      <c r="M78">
        <v>0.2157001473814156</v>
      </c>
      <c r="R78" s="39">
        <v>42160</v>
      </c>
      <c r="S78" t="s">
        <v>358</v>
      </c>
      <c r="T78">
        <v>1.2641655013102928</v>
      </c>
      <c r="U78">
        <v>0.11974430989657898</v>
      </c>
    </row>
    <row r="79" spans="10:21">
      <c r="J79" s="39">
        <v>42160</v>
      </c>
      <c r="K79" t="s">
        <v>345</v>
      </c>
      <c r="L79">
        <v>1.1593018301007294</v>
      </c>
      <c r="M79">
        <v>9.5730379768488763E-2</v>
      </c>
      <c r="R79" s="39">
        <v>42160</v>
      </c>
      <c r="S79" t="s">
        <v>359</v>
      </c>
      <c r="T79">
        <v>1.2594688677284154</v>
      </c>
      <c r="U79">
        <v>0.1389949653210624</v>
      </c>
    </row>
    <row r="80" spans="10:21">
      <c r="J80" s="39">
        <v>42160</v>
      </c>
      <c r="K80" t="s">
        <v>346</v>
      </c>
      <c r="L80">
        <v>1.4946150562162179</v>
      </c>
      <c r="M80">
        <v>0.12583380009788317</v>
      </c>
      <c r="R80" s="39">
        <v>42160</v>
      </c>
      <c r="S80" t="s">
        <v>360</v>
      </c>
      <c r="T80">
        <v>1.1460756737494124</v>
      </c>
      <c r="U80">
        <v>0.11119729689060487</v>
      </c>
    </row>
    <row r="81" spans="10:21">
      <c r="J81" s="39">
        <v>42160</v>
      </c>
      <c r="K81" t="s">
        <v>347</v>
      </c>
      <c r="L81">
        <v>0.9124160039042053</v>
      </c>
      <c r="M81">
        <v>8.5833889628994353E-2</v>
      </c>
      <c r="R81" s="39">
        <v>42160</v>
      </c>
      <c r="S81" t="s">
        <v>361</v>
      </c>
      <c r="T81">
        <v>1.0212950473900693</v>
      </c>
      <c r="U81">
        <v>0.1052709752354663</v>
      </c>
    </row>
    <row r="82" spans="10:21">
      <c r="J82" s="39">
        <v>42160</v>
      </c>
      <c r="K82" t="s">
        <v>348</v>
      </c>
      <c r="L82">
        <v>1.2054970725413032</v>
      </c>
      <c r="M82">
        <v>0.12572265240017474</v>
      </c>
      <c r="R82" s="39">
        <v>42160</v>
      </c>
      <c r="S82" t="s">
        <v>362</v>
      </c>
      <c r="T82">
        <v>1.2983029978479983</v>
      </c>
      <c r="U82">
        <v>0.17045462537476053</v>
      </c>
    </row>
    <row r="83" spans="10:21">
      <c r="J83" s="39">
        <v>42160</v>
      </c>
      <c r="K83" t="s">
        <v>349</v>
      </c>
      <c r="L83">
        <v>0.99702181002649692</v>
      </c>
      <c r="M83">
        <v>0.12129443463033351</v>
      </c>
      <c r="R83" s="39">
        <v>42160</v>
      </c>
      <c r="S83" t="s">
        <v>363</v>
      </c>
      <c r="T83">
        <v>1.3138007708880832</v>
      </c>
      <c r="U83">
        <v>0.14750001994783798</v>
      </c>
    </row>
    <row r="84" spans="10:21">
      <c r="J84" s="39">
        <v>42160</v>
      </c>
      <c r="K84" t="s">
        <v>350</v>
      </c>
      <c r="L84">
        <v>1.3475572700576699</v>
      </c>
      <c r="M84">
        <v>0.13242969937371638</v>
      </c>
      <c r="R84" s="39">
        <v>42163</v>
      </c>
      <c r="S84" t="s">
        <v>345</v>
      </c>
      <c r="T84">
        <v>1.1593018301007294</v>
      </c>
      <c r="U84">
        <v>9.5730379768488763E-2</v>
      </c>
    </row>
    <row r="85" spans="10:21">
      <c r="J85" s="39">
        <v>42160</v>
      </c>
      <c r="K85" t="s">
        <v>351</v>
      </c>
      <c r="L85">
        <v>1.1928916128240923</v>
      </c>
      <c r="M85">
        <v>0.11994496603235771</v>
      </c>
      <c r="R85" s="39">
        <v>42163</v>
      </c>
      <c r="S85" t="s">
        <v>346</v>
      </c>
      <c r="T85">
        <v>1.4867363004770846</v>
      </c>
      <c r="U85">
        <v>0.12545015759039502</v>
      </c>
    </row>
    <row r="86" spans="10:21">
      <c r="J86" s="39">
        <v>42160</v>
      </c>
      <c r="K86" t="s">
        <v>352</v>
      </c>
      <c r="L86">
        <v>1.0510274090322125</v>
      </c>
      <c r="M86">
        <v>0.10952861307267484</v>
      </c>
      <c r="R86" s="39">
        <v>42163</v>
      </c>
      <c r="S86" t="s">
        <v>347</v>
      </c>
      <c r="T86">
        <v>0.9124160039042053</v>
      </c>
      <c r="U86">
        <v>8.5833889628994353E-2</v>
      </c>
    </row>
    <row r="87" spans="10:21">
      <c r="J87" s="39">
        <v>42160</v>
      </c>
      <c r="K87" t="s">
        <v>353</v>
      </c>
      <c r="L87">
        <v>1.5414925987207662</v>
      </c>
      <c r="M87">
        <v>0.15779428599929765</v>
      </c>
      <c r="R87" s="39">
        <v>42163</v>
      </c>
      <c r="S87" t="s">
        <v>348</v>
      </c>
      <c r="T87">
        <v>1.2054970725413032</v>
      </c>
      <c r="U87">
        <v>0.12572265240017474</v>
      </c>
    </row>
    <row r="88" spans="10:21">
      <c r="J88" s="39">
        <v>42160</v>
      </c>
      <c r="K88" t="s">
        <v>354</v>
      </c>
      <c r="L88">
        <v>1.4939197133982673</v>
      </c>
      <c r="M88">
        <v>0.22467311641694376</v>
      </c>
      <c r="R88" s="39">
        <v>42163</v>
      </c>
      <c r="S88" t="s">
        <v>349</v>
      </c>
      <c r="T88">
        <v>0.99232920966320759</v>
      </c>
      <c r="U88">
        <v>0.12084279178173461</v>
      </c>
    </row>
    <row r="89" spans="10:21">
      <c r="J89" s="39">
        <v>42160</v>
      </c>
      <c r="K89" t="s">
        <v>355</v>
      </c>
      <c r="L89">
        <v>1.0607270910888102</v>
      </c>
      <c r="M89">
        <v>0.11227797357097488</v>
      </c>
      <c r="R89" s="39">
        <v>42163</v>
      </c>
      <c r="S89" t="s">
        <v>350</v>
      </c>
      <c r="T89">
        <v>1.3475572700576699</v>
      </c>
      <c r="U89">
        <v>0.13242969937371638</v>
      </c>
    </row>
    <row r="90" spans="10:21">
      <c r="J90" s="39">
        <v>42160</v>
      </c>
      <c r="K90" t="s">
        <v>356</v>
      </c>
      <c r="L90">
        <v>0.74222933856415707</v>
      </c>
      <c r="M90">
        <v>9.4498314087775107E-2</v>
      </c>
      <c r="R90" s="39">
        <v>42163</v>
      </c>
      <c r="S90" t="s">
        <v>351</v>
      </c>
      <c r="T90">
        <v>1.1771937359025584</v>
      </c>
      <c r="U90">
        <v>0.11864096499278812</v>
      </c>
    </row>
    <row r="91" spans="10:21">
      <c r="J91" s="39">
        <v>42160</v>
      </c>
      <c r="K91" t="s">
        <v>357</v>
      </c>
      <c r="L91">
        <v>1.0221471144432164</v>
      </c>
      <c r="M91">
        <v>0.1035540699945776</v>
      </c>
      <c r="R91" s="39">
        <v>42163</v>
      </c>
      <c r="S91" t="s">
        <v>352</v>
      </c>
      <c r="T91">
        <v>1.0520776471187094</v>
      </c>
      <c r="U91">
        <v>0.10984989108070768</v>
      </c>
    </row>
    <row r="92" spans="10:21">
      <c r="J92" s="39">
        <v>42160</v>
      </c>
      <c r="K92" t="s">
        <v>358</v>
      </c>
      <c r="L92">
        <v>1.2641655013102928</v>
      </c>
      <c r="M92">
        <v>0.11974430989657898</v>
      </c>
      <c r="R92" s="39">
        <v>42163</v>
      </c>
      <c r="S92" t="s">
        <v>353</v>
      </c>
      <c r="T92">
        <v>1.5212887458882118</v>
      </c>
      <c r="U92">
        <v>0.15599109237360595</v>
      </c>
    </row>
    <row r="93" spans="10:21">
      <c r="J93" s="39">
        <v>42160</v>
      </c>
      <c r="K93" t="s">
        <v>359</v>
      </c>
      <c r="L93">
        <v>1.2594688677284154</v>
      </c>
      <c r="M93">
        <v>0.1389949653210624</v>
      </c>
      <c r="R93" s="39">
        <v>42163</v>
      </c>
      <c r="S93" t="s">
        <v>355</v>
      </c>
      <c r="T93">
        <v>1.0608856856850506</v>
      </c>
      <c r="U93">
        <v>0.11220358399468042</v>
      </c>
    </row>
    <row r="94" spans="10:21">
      <c r="J94" s="39">
        <v>42160</v>
      </c>
      <c r="K94" t="s">
        <v>360</v>
      </c>
      <c r="L94">
        <v>1.1460756737494124</v>
      </c>
      <c r="M94">
        <v>0.11119729689060487</v>
      </c>
      <c r="R94" s="39">
        <v>42163</v>
      </c>
      <c r="S94" t="s">
        <v>356</v>
      </c>
      <c r="T94">
        <v>0.75609427702668586</v>
      </c>
      <c r="U94">
        <v>9.6372557212418206E-2</v>
      </c>
    </row>
    <row r="95" spans="10:21">
      <c r="J95" s="39">
        <v>42160</v>
      </c>
      <c r="K95" t="s">
        <v>361</v>
      </c>
      <c r="L95">
        <v>1.0212950473900693</v>
      </c>
      <c r="M95">
        <v>0.1052709752354663</v>
      </c>
      <c r="R95" s="39">
        <v>42163</v>
      </c>
      <c r="S95" t="s">
        <v>357</v>
      </c>
      <c r="T95">
        <v>1.0321027661341902</v>
      </c>
      <c r="U95">
        <v>0.10445420396851109</v>
      </c>
    </row>
    <row r="96" spans="10:21">
      <c r="J96" s="39">
        <v>42160</v>
      </c>
      <c r="K96" t="s">
        <v>362</v>
      </c>
      <c r="L96">
        <v>1.2983029978479983</v>
      </c>
      <c r="M96">
        <v>0.17045462537476053</v>
      </c>
      <c r="R96" s="39">
        <v>42163</v>
      </c>
      <c r="S96" t="s">
        <v>358</v>
      </c>
      <c r="T96">
        <v>1.2536588166487488</v>
      </c>
      <c r="U96">
        <v>0.11888564706703918</v>
      </c>
    </row>
    <row r="97" spans="10:21">
      <c r="J97" s="39">
        <v>42160</v>
      </c>
      <c r="K97" t="s">
        <v>363</v>
      </c>
      <c r="L97">
        <v>1.3138007708880832</v>
      </c>
      <c r="M97">
        <v>0.14750001994783798</v>
      </c>
      <c r="R97" s="39">
        <v>42163</v>
      </c>
      <c r="S97" t="s">
        <v>359</v>
      </c>
      <c r="T97">
        <v>1.2604652424585454</v>
      </c>
      <c r="U97">
        <v>0.13911630314229739</v>
      </c>
    </row>
    <row r="98" spans="10:21">
      <c r="J98" s="39">
        <v>42160</v>
      </c>
      <c r="K98" t="s">
        <v>337</v>
      </c>
      <c r="L98">
        <v>0.8718212116933105</v>
      </c>
      <c r="M98">
        <v>0.4720726065684781</v>
      </c>
      <c r="R98" s="39">
        <v>42163</v>
      </c>
      <c r="S98" t="s">
        <v>360</v>
      </c>
      <c r="T98">
        <v>1.1442484251239124</v>
      </c>
      <c r="U98">
        <v>0.11105656776474646</v>
      </c>
    </row>
    <row r="99" spans="10:21">
      <c r="J99" s="39">
        <v>42160</v>
      </c>
      <c r="K99" t="s">
        <v>338</v>
      </c>
      <c r="L99">
        <v>1.3623412668010231</v>
      </c>
      <c r="M99">
        <v>9.1422816844254212E-2</v>
      </c>
      <c r="R99" s="39">
        <v>42163</v>
      </c>
      <c r="S99" t="s">
        <v>361</v>
      </c>
      <c r="T99">
        <v>1.0154859657994013</v>
      </c>
      <c r="U99">
        <v>0.10459874892162417</v>
      </c>
    </row>
    <row r="100" spans="10:21">
      <c r="J100" s="39">
        <v>42163</v>
      </c>
      <c r="K100" t="s">
        <v>344</v>
      </c>
      <c r="L100">
        <v>1.4416462636635623</v>
      </c>
      <c r="M100">
        <v>0.21720894056848902</v>
      </c>
      <c r="R100" s="39">
        <v>42163</v>
      </c>
      <c r="S100" t="s">
        <v>362</v>
      </c>
      <c r="T100">
        <v>1.2989903815728279</v>
      </c>
      <c r="U100">
        <v>0.17070109601740663</v>
      </c>
    </row>
    <row r="101" spans="10:21">
      <c r="J101" s="39">
        <v>42163</v>
      </c>
      <c r="K101" t="s">
        <v>345</v>
      </c>
      <c r="L101">
        <v>1.1593018301007294</v>
      </c>
      <c r="M101">
        <v>9.5730379768488763E-2</v>
      </c>
      <c r="R101" s="39">
        <v>42163</v>
      </c>
      <c r="S101" t="s">
        <v>363</v>
      </c>
      <c r="T101">
        <v>1.3064099678500971</v>
      </c>
      <c r="U101">
        <v>0.14691257086936993</v>
      </c>
    </row>
    <row r="102" spans="10:21">
      <c r="J102" s="39">
        <v>42163</v>
      </c>
      <c r="K102" t="s">
        <v>346</v>
      </c>
      <c r="L102">
        <v>1.4867363004770846</v>
      </c>
      <c r="M102">
        <v>0.12545015759039502</v>
      </c>
      <c r="R102" s="39">
        <v>42164</v>
      </c>
      <c r="S102" t="s">
        <v>345</v>
      </c>
      <c r="T102">
        <v>1.1587651791882203</v>
      </c>
      <c r="U102">
        <v>9.5674934738498058E-2</v>
      </c>
    </row>
    <row r="103" spans="10:21">
      <c r="J103" s="39">
        <v>42163</v>
      </c>
      <c r="K103" t="s">
        <v>347</v>
      </c>
      <c r="L103">
        <v>0.9124160039042053</v>
      </c>
      <c r="M103">
        <v>8.5833889628994353E-2</v>
      </c>
      <c r="R103" s="39">
        <v>42164</v>
      </c>
      <c r="S103" t="s">
        <v>346</v>
      </c>
      <c r="T103">
        <v>1.4867363004770846</v>
      </c>
      <c r="U103">
        <v>0.12545015759039502</v>
      </c>
    </row>
    <row r="104" spans="10:21">
      <c r="J104" s="39">
        <v>42163</v>
      </c>
      <c r="K104" t="s">
        <v>348</v>
      </c>
      <c r="L104">
        <v>1.2054970725413032</v>
      </c>
      <c r="M104">
        <v>0.12572265240017474</v>
      </c>
      <c r="R104" s="39">
        <v>42164</v>
      </c>
      <c r="S104" t="s">
        <v>347</v>
      </c>
      <c r="T104">
        <v>0.9124160039042053</v>
      </c>
      <c r="U104">
        <v>8.5833889628994353E-2</v>
      </c>
    </row>
    <row r="105" spans="10:21">
      <c r="J105" s="39">
        <v>42163</v>
      </c>
      <c r="K105" t="s">
        <v>349</v>
      </c>
      <c r="L105">
        <v>0.99232920966320759</v>
      </c>
      <c r="M105">
        <v>0.12084279178173461</v>
      </c>
      <c r="R105" s="39">
        <v>42164</v>
      </c>
      <c r="S105" t="s">
        <v>348</v>
      </c>
      <c r="T105">
        <v>1.2055566438023264</v>
      </c>
      <c r="U105">
        <v>0.12571811413311751</v>
      </c>
    </row>
    <row r="106" spans="10:21">
      <c r="J106" s="39">
        <v>42163</v>
      </c>
      <c r="K106" t="s">
        <v>350</v>
      </c>
      <c r="L106">
        <v>1.3475572700576699</v>
      </c>
      <c r="M106">
        <v>0.13242969937371638</v>
      </c>
      <c r="R106" s="39">
        <v>42164</v>
      </c>
      <c r="S106" t="s">
        <v>349</v>
      </c>
      <c r="T106">
        <v>0.9920670415062447</v>
      </c>
      <c r="U106">
        <v>0.12078009096870464</v>
      </c>
    </row>
    <row r="107" spans="10:21">
      <c r="J107" s="39">
        <v>42163</v>
      </c>
      <c r="K107" t="s">
        <v>351</v>
      </c>
      <c r="L107">
        <v>1.1771937359025584</v>
      </c>
      <c r="M107">
        <v>0.11864096499278812</v>
      </c>
      <c r="R107" s="39">
        <v>42164</v>
      </c>
      <c r="S107" t="s">
        <v>350</v>
      </c>
      <c r="T107">
        <v>1.3475572700576699</v>
      </c>
      <c r="U107">
        <v>0.13242969937371638</v>
      </c>
    </row>
    <row r="108" spans="10:21">
      <c r="J108" s="39">
        <v>42163</v>
      </c>
      <c r="K108" t="s">
        <v>352</v>
      </c>
      <c r="L108">
        <v>1.0520776471187094</v>
      </c>
      <c r="M108">
        <v>0.10984989108070768</v>
      </c>
      <c r="R108" s="39">
        <v>42164</v>
      </c>
      <c r="S108" t="s">
        <v>351</v>
      </c>
      <c r="T108">
        <v>1.1769881593260325</v>
      </c>
      <c r="U108">
        <v>0.1186121276027836</v>
      </c>
    </row>
    <row r="109" spans="10:21">
      <c r="J109" s="39">
        <v>42163</v>
      </c>
      <c r="K109" t="s">
        <v>353</v>
      </c>
      <c r="L109">
        <v>1.5212887458882118</v>
      </c>
      <c r="M109">
        <v>0.15599109237360595</v>
      </c>
      <c r="R109" s="39">
        <v>42164</v>
      </c>
      <c r="S109" t="s">
        <v>352</v>
      </c>
      <c r="T109">
        <v>1.051495690156514</v>
      </c>
      <c r="U109">
        <v>0.10977421384625935</v>
      </c>
    </row>
    <row r="110" spans="10:21">
      <c r="J110" s="39">
        <v>42163</v>
      </c>
      <c r="K110" t="s">
        <v>354</v>
      </c>
      <c r="L110">
        <v>1.5028059016778115</v>
      </c>
      <c r="M110">
        <v>0.22607735007062438</v>
      </c>
      <c r="R110" s="39">
        <v>42164</v>
      </c>
      <c r="S110" t="s">
        <v>353</v>
      </c>
      <c r="T110">
        <v>1.5205812240930667</v>
      </c>
      <c r="U110">
        <v>0.15544743571084907</v>
      </c>
    </row>
    <row r="111" spans="10:21">
      <c r="J111" s="39">
        <v>42163</v>
      </c>
      <c r="K111" t="s">
        <v>355</v>
      </c>
      <c r="L111">
        <v>1.0608856856850506</v>
      </c>
      <c r="M111">
        <v>0.11220358399468042</v>
      </c>
      <c r="R111" s="39">
        <v>42164</v>
      </c>
      <c r="S111" t="s">
        <v>355</v>
      </c>
      <c r="T111">
        <v>1.060758658304036</v>
      </c>
      <c r="U111">
        <v>0.11208273129657083</v>
      </c>
    </row>
    <row r="112" spans="10:21">
      <c r="J112" s="39">
        <v>42163</v>
      </c>
      <c r="K112" t="s">
        <v>356</v>
      </c>
      <c r="L112">
        <v>0.75609427702668586</v>
      </c>
      <c r="M112">
        <v>9.6372557212418206E-2</v>
      </c>
      <c r="R112" s="39">
        <v>42164</v>
      </c>
      <c r="S112" t="s">
        <v>356</v>
      </c>
      <c r="T112">
        <v>0.75611583815512629</v>
      </c>
      <c r="U112">
        <v>9.6374395556920331E-2</v>
      </c>
    </row>
    <row r="113" spans="10:21">
      <c r="J113" s="39">
        <v>42163</v>
      </c>
      <c r="K113" t="s">
        <v>357</v>
      </c>
      <c r="L113">
        <v>1.0321027661341902</v>
      </c>
      <c r="M113">
        <v>0.10445420396851109</v>
      </c>
      <c r="R113" s="39">
        <v>42164</v>
      </c>
      <c r="S113" t="s">
        <v>357</v>
      </c>
      <c r="T113">
        <v>1.0326990938550655</v>
      </c>
      <c r="U113">
        <v>0.10447340577938978</v>
      </c>
    </row>
    <row r="114" spans="10:21">
      <c r="J114" s="39">
        <v>42163</v>
      </c>
      <c r="K114" t="s">
        <v>358</v>
      </c>
      <c r="L114">
        <v>1.2536588166487488</v>
      </c>
      <c r="M114">
        <v>0.11888564706703918</v>
      </c>
      <c r="R114" s="39">
        <v>42164</v>
      </c>
      <c r="S114" t="s">
        <v>358</v>
      </c>
      <c r="T114">
        <v>1.2537678182770702</v>
      </c>
      <c r="U114">
        <v>0.11889600996669208</v>
      </c>
    </row>
    <row r="115" spans="10:21">
      <c r="J115" s="39">
        <v>42163</v>
      </c>
      <c r="K115" t="s">
        <v>359</v>
      </c>
      <c r="L115">
        <v>1.2604652424585454</v>
      </c>
      <c r="M115">
        <v>0.13911630314229739</v>
      </c>
      <c r="R115" s="39">
        <v>42164</v>
      </c>
      <c r="S115" t="s">
        <v>359</v>
      </c>
      <c r="T115">
        <v>1.2597825578365787</v>
      </c>
      <c r="U115">
        <v>0.1389674286789363</v>
      </c>
    </row>
    <row r="116" spans="10:21">
      <c r="J116" s="39">
        <v>42163</v>
      </c>
      <c r="K116" t="s">
        <v>360</v>
      </c>
      <c r="L116">
        <v>1.1442484251239124</v>
      </c>
      <c r="M116">
        <v>0.11105656776474646</v>
      </c>
      <c r="R116" s="39">
        <v>42164</v>
      </c>
      <c r="S116" t="s">
        <v>360</v>
      </c>
      <c r="T116">
        <v>1.1437569962807761</v>
      </c>
      <c r="U116">
        <v>0.11096194957428913</v>
      </c>
    </row>
    <row r="117" spans="10:21">
      <c r="J117" s="39">
        <v>42163</v>
      </c>
      <c r="K117" t="s">
        <v>361</v>
      </c>
      <c r="L117">
        <v>1.0154859657994013</v>
      </c>
      <c r="M117">
        <v>0.10459874892162417</v>
      </c>
      <c r="R117" s="39">
        <v>42164</v>
      </c>
      <c r="S117" t="s">
        <v>361</v>
      </c>
      <c r="T117">
        <v>1.015288502872268</v>
      </c>
      <c r="U117">
        <v>0.10457308926253842</v>
      </c>
    </row>
    <row r="118" spans="10:21">
      <c r="J118" s="39">
        <v>42163</v>
      </c>
      <c r="K118" t="s">
        <v>362</v>
      </c>
      <c r="L118">
        <v>1.2989903815728279</v>
      </c>
      <c r="M118">
        <v>0.17070109601740663</v>
      </c>
      <c r="R118" s="39">
        <v>42164</v>
      </c>
      <c r="S118" t="s">
        <v>362</v>
      </c>
      <c r="T118">
        <v>1.2988479134945929</v>
      </c>
      <c r="U118">
        <v>0.17066784376924987</v>
      </c>
    </row>
    <row r="119" spans="10:21">
      <c r="J119" s="39">
        <v>42163</v>
      </c>
      <c r="K119" t="s">
        <v>363</v>
      </c>
      <c r="L119">
        <v>1.3064099678500971</v>
      </c>
      <c r="M119">
        <v>0.14691257086936993</v>
      </c>
      <c r="R119" s="39">
        <v>42164</v>
      </c>
      <c r="S119" t="s">
        <v>363</v>
      </c>
      <c r="T119">
        <v>1.3061978895991637</v>
      </c>
      <c r="U119">
        <v>0.14687903453355605</v>
      </c>
    </row>
    <row r="120" spans="10:21">
      <c r="J120" s="39">
        <v>42163</v>
      </c>
      <c r="K120" t="s">
        <v>337</v>
      </c>
      <c r="L120">
        <v>0.87345767849394651</v>
      </c>
      <c r="M120">
        <v>0.47332869135570305</v>
      </c>
      <c r="R120" s="39">
        <v>42165</v>
      </c>
      <c r="S120" t="s">
        <v>345</v>
      </c>
      <c r="T120">
        <v>1.0624315544798739</v>
      </c>
      <c r="U120">
        <v>8.8393453398631222E-2</v>
      </c>
    </row>
    <row r="121" spans="10:21">
      <c r="J121" s="39">
        <v>42163</v>
      </c>
      <c r="K121" t="s">
        <v>338</v>
      </c>
      <c r="L121">
        <v>1.3623412668010231</v>
      </c>
      <c r="M121">
        <v>9.1422816844254212E-2</v>
      </c>
      <c r="R121" s="39">
        <v>42165</v>
      </c>
      <c r="S121" t="s">
        <v>346</v>
      </c>
      <c r="T121">
        <v>1.4867363004770846</v>
      </c>
      <c r="U121">
        <v>0.12545015759039502</v>
      </c>
    </row>
    <row r="122" spans="10:21">
      <c r="J122" s="39">
        <v>42164</v>
      </c>
      <c r="K122" t="s">
        <v>344</v>
      </c>
      <c r="L122">
        <v>1.4415209589489215</v>
      </c>
      <c r="M122">
        <v>0.21717143659394442</v>
      </c>
      <c r="R122" s="39">
        <v>42165</v>
      </c>
      <c r="S122" t="s">
        <v>347</v>
      </c>
      <c r="T122">
        <v>0.9124160039042053</v>
      </c>
      <c r="U122">
        <v>8.5833889628994353E-2</v>
      </c>
    </row>
    <row r="123" spans="10:21">
      <c r="J123" s="39">
        <v>42164</v>
      </c>
      <c r="K123" t="s">
        <v>345</v>
      </c>
      <c r="L123">
        <v>1.1587651791882203</v>
      </c>
      <c r="M123">
        <v>9.5674934738498058E-2</v>
      </c>
      <c r="R123" s="39">
        <v>42165</v>
      </c>
      <c r="S123" t="s">
        <v>348</v>
      </c>
      <c r="T123">
        <v>1.2055566438023264</v>
      </c>
      <c r="U123">
        <v>0.12571811413311751</v>
      </c>
    </row>
    <row r="124" spans="10:21">
      <c r="J124" s="39">
        <v>42164</v>
      </c>
      <c r="K124" t="s">
        <v>346</v>
      </c>
      <c r="L124">
        <v>1.4867363004770846</v>
      </c>
      <c r="M124">
        <v>0.12545015759039502</v>
      </c>
      <c r="R124" s="39">
        <v>42165</v>
      </c>
      <c r="S124" t="s">
        <v>349</v>
      </c>
      <c r="T124">
        <v>0.99051287581195246</v>
      </c>
      <c r="U124">
        <v>0.12118096990776939</v>
      </c>
    </row>
    <row r="125" spans="10:21">
      <c r="J125" s="39">
        <v>42164</v>
      </c>
      <c r="K125" t="s">
        <v>347</v>
      </c>
      <c r="L125">
        <v>0.9124160039042053</v>
      </c>
      <c r="M125">
        <v>8.5833889628994353E-2</v>
      </c>
      <c r="R125" s="39">
        <v>42165</v>
      </c>
      <c r="S125" t="s">
        <v>350</v>
      </c>
      <c r="T125">
        <v>1.2713220426331109</v>
      </c>
      <c r="U125">
        <v>0.12545924710946682</v>
      </c>
    </row>
    <row r="126" spans="10:21">
      <c r="J126" s="39">
        <v>42164</v>
      </c>
      <c r="K126" t="s">
        <v>348</v>
      </c>
      <c r="L126">
        <v>1.2055566438023264</v>
      </c>
      <c r="M126">
        <v>0.12571811413311751</v>
      </c>
      <c r="R126" s="39">
        <v>42165</v>
      </c>
      <c r="S126" t="s">
        <v>351</v>
      </c>
      <c r="T126">
        <v>1.1455167629881111</v>
      </c>
      <c r="U126">
        <v>0.11572723992272627</v>
      </c>
    </row>
    <row r="127" spans="10:21">
      <c r="J127" s="39">
        <v>42164</v>
      </c>
      <c r="K127" t="s">
        <v>349</v>
      </c>
      <c r="L127">
        <v>0.9920670415062447</v>
      </c>
      <c r="M127">
        <v>0.12078009096870464</v>
      </c>
      <c r="R127" s="39">
        <v>42165</v>
      </c>
      <c r="S127" t="s">
        <v>352</v>
      </c>
      <c r="T127">
        <v>1.022565572588882</v>
      </c>
      <c r="U127">
        <v>0.1074288313448334</v>
      </c>
    </row>
    <row r="128" spans="10:21">
      <c r="J128" s="39">
        <v>42164</v>
      </c>
      <c r="K128" t="s">
        <v>350</v>
      </c>
      <c r="L128">
        <v>1.3475572700576699</v>
      </c>
      <c r="M128">
        <v>0.13242969937371638</v>
      </c>
      <c r="R128" s="39">
        <v>42165</v>
      </c>
      <c r="S128" t="s">
        <v>353</v>
      </c>
      <c r="T128">
        <v>1.5675506490262288</v>
      </c>
      <c r="U128">
        <v>0.16085133666513429</v>
      </c>
    </row>
    <row r="129" spans="10:21">
      <c r="J129" s="39">
        <v>42164</v>
      </c>
      <c r="K129" t="s">
        <v>351</v>
      </c>
      <c r="L129">
        <v>1.1769881593260325</v>
      </c>
      <c r="M129">
        <v>0.1186121276027836</v>
      </c>
      <c r="R129" s="39">
        <v>42165</v>
      </c>
      <c r="S129" t="s">
        <v>355</v>
      </c>
      <c r="T129">
        <v>1.0610368874682603</v>
      </c>
      <c r="U129">
        <v>0.11211106603683536</v>
      </c>
    </row>
    <row r="130" spans="10:21">
      <c r="J130" s="39">
        <v>42164</v>
      </c>
      <c r="K130" t="s">
        <v>352</v>
      </c>
      <c r="L130">
        <v>1.051495690156514</v>
      </c>
      <c r="M130">
        <v>0.10977421384625935</v>
      </c>
      <c r="R130" s="39">
        <v>42165</v>
      </c>
      <c r="S130" t="s">
        <v>356</v>
      </c>
      <c r="T130">
        <v>0.76226870090941845</v>
      </c>
      <c r="U130">
        <v>9.7643730119933936E-2</v>
      </c>
    </row>
    <row r="131" spans="10:21">
      <c r="J131" s="39">
        <v>42164</v>
      </c>
      <c r="K131" t="s">
        <v>353</v>
      </c>
      <c r="L131">
        <v>1.5205812240930667</v>
      </c>
      <c r="M131">
        <v>0.15544743571084907</v>
      </c>
      <c r="R131" s="39">
        <v>42165</v>
      </c>
      <c r="S131" t="s">
        <v>357</v>
      </c>
      <c r="T131">
        <v>1.0262367171969529</v>
      </c>
      <c r="U131">
        <v>0.10438100263514001</v>
      </c>
    </row>
    <row r="132" spans="10:21">
      <c r="J132" s="39">
        <v>42164</v>
      </c>
      <c r="K132" t="s">
        <v>354</v>
      </c>
      <c r="L132">
        <v>1.5026612860225013</v>
      </c>
      <c r="M132">
        <v>0.22602966514246789</v>
      </c>
      <c r="R132" s="39">
        <v>42165</v>
      </c>
      <c r="S132" t="s">
        <v>358</v>
      </c>
      <c r="T132">
        <v>1.2428045182569778</v>
      </c>
      <c r="U132">
        <v>0.11864727569977704</v>
      </c>
    </row>
    <row r="133" spans="10:21">
      <c r="J133" s="39">
        <v>42164</v>
      </c>
      <c r="K133" t="s">
        <v>355</v>
      </c>
      <c r="L133">
        <v>1.060758658304036</v>
      </c>
      <c r="M133">
        <v>0.11208273129657083</v>
      </c>
      <c r="R133" s="39">
        <v>42165</v>
      </c>
      <c r="S133" t="s">
        <v>359</v>
      </c>
      <c r="T133">
        <v>1.2604399370761146</v>
      </c>
      <c r="U133">
        <v>0.13906243899051149</v>
      </c>
    </row>
    <row r="134" spans="10:21">
      <c r="J134" s="39">
        <v>42164</v>
      </c>
      <c r="K134" t="s">
        <v>356</v>
      </c>
      <c r="L134">
        <v>0.75611583815512629</v>
      </c>
      <c r="M134">
        <v>9.6374395556920331E-2</v>
      </c>
      <c r="R134" s="39">
        <v>42165</v>
      </c>
      <c r="S134" t="s">
        <v>360</v>
      </c>
      <c r="T134">
        <v>1.144858505402963</v>
      </c>
      <c r="U134">
        <v>0.11109033394634847</v>
      </c>
    </row>
    <row r="135" spans="10:21">
      <c r="J135" s="39">
        <v>42164</v>
      </c>
      <c r="K135" t="s">
        <v>357</v>
      </c>
      <c r="L135">
        <v>1.0326990938550655</v>
      </c>
      <c r="M135">
        <v>0.10447340577938978</v>
      </c>
      <c r="R135" s="39">
        <v>42165</v>
      </c>
      <c r="S135" t="s">
        <v>361</v>
      </c>
      <c r="T135">
        <v>1.0079686190366037</v>
      </c>
      <c r="U135">
        <v>0.10445656030742891</v>
      </c>
    </row>
    <row r="136" spans="10:21">
      <c r="J136" s="39">
        <v>42164</v>
      </c>
      <c r="K136" t="s">
        <v>358</v>
      </c>
      <c r="L136">
        <v>1.2537678182770702</v>
      </c>
      <c r="M136">
        <v>0.11889600996669208</v>
      </c>
      <c r="R136" s="39">
        <v>42165</v>
      </c>
      <c r="S136" t="s">
        <v>362</v>
      </c>
      <c r="T136">
        <v>1.2963055269732062</v>
      </c>
      <c r="U136">
        <v>0.17115972595364071</v>
      </c>
    </row>
    <row r="137" spans="10:21">
      <c r="J137" s="39">
        <v>42164</v>
      </c>
      <c r="K137" t="s">
        <v>359</v>
      </c>
      <c r="L137">
        <v>1.2597825578365787</v>
      </c>
      <c r="M137">
        <v>0.1389674286789363</v>
      </c>
      <c r="R137" s="39">
        <v>42165</v>
      </c>
      <c r="S137" t="s">
        <v>363</v>
      </c>
      <c r="T137">
        <v>1.2901279599567317</v>
      </c>
      <c r="U137">
        <v>0.14590013782550931</v>
      </c>
    </row>
    <row r="138" spans="10:21">
      <c r="J138" s="39">
        <v>42164</v>
      </c>
      <c r="K138" t="s">
        <v>360</v>
      </c>
      <c r="L138">
        <v>1.1437569962807761</v>
      </c>
      <c r="M138">
        <v>0.11096194957428913</v>
      </c>
      <c r="R138" s="39">
        <v>42165</v>
      </c>
      <c r="S138" t="s">
        <v>364</v>
      </c>
      <c r="T138">
        <v>9.6408919494398955</v>
      </c>
      <c r="U138">
        <v>0.29764239373028611</v>
      </c>
    </row>
    <row r="139" spans="10:21">
      <c r="J139" s="39">
        <v>42164</v>
      </c>
      <c r="K139" t="s">
        <v>361</v>
      </c>
      <c r="L139">
        <v>1.015288502872268</v>
      </c>
      <c r="M139">
        <v>0.10457308926253842</v>
      </c>
      <c r="R139" s="39">
        <v>42166</v>
      </c>
      <c r="S139" t="s">
        <v>345</v>
      </c>
      <c r="T139">
        <v>1.0660968708580569</v>
      </c>
      <c r="U139">
        <v>8.8349653845359311E-2</v>
      </c>
    </row>
    <row r="140" spans="10:21">
      <c r="J140" s="39">
        <v>42164</v>
      </c>
      <c r="K140" t="s">
        <v>362</v>
      </c>
      <c r="L140">
        <v>1.2988479134945929</v>
      </c>
      <c r="M140">
        <v>0.17066784376924987</v>
      </c>
      <c r="R140" s="39">
        <v>42166</v>
      </c>
      <c r="S140" t="s">
        <v>346</v>
      </c>
      <c r="T140">
        <v>1.4946804800519358</v>
      </c>
      <c r="U140">
        <v>0.12607572062235628</v>
      </c>
    </row>
    <row r="141" spans="10:21">
      <c r="J141" s="39">
        <v>42164</v>
      </c>
      <c r="K141" t="s">
        <v>363</v>
      </c>
      <c r="L141">
        <v>1.3061978895991637</v>
      </c>
      <c r="M141">
        <v>0.14687903453355605</v>
      </c>
      <c r="R141" s="39">
        <v>42166</v>
      </c>
      <c r="S141" t="s">
        <v>347</v>
      </c>
      <c r="T141">
        <v>0.92662484127134159</v>
      </c>
      <c r="U141">
        <v>8.6918505798100676E-2</v>
      </c>
    </row>
    <row r="142" spans="10:21">
      <c r="J142" s="39">
        <v>42164</v>
      </c>
      <c r="K142" t="s">
        <v>337</v>
      </c>
      <c r="L142">
        <v>0.87336465488330151</v>
      </c>
      <c r="M142">
        <v>0.47298383263677679</v>
      </c>
      <c r="R142" s="39">
        <v>42166</v>
      </c>
      <c r="S142" t="s">
        <v>348</v>
      </c>
      <c r="T142">
        <v>1.2086438693706554</v>
      </c>
      <c r="U142">
        <v>0.12600549426213351</v>
      </c>
    </row>
    <row r="143" spans="10:21">
      <c r="J143" s="39">
        <v>42164</v>
      </c>
      <c r="K143" t="s">
        <v>338</v>
      </c>
      <c r="L143">
        <v>1.3632604493889169</v>
      </c>
      <c r="M143">
        <v>9.1480722028122546E-2</v>
      </c>
      <c r="R143" s="39">
        <v>42166</v>
      </c>
      <c r="S143" t="s">
        <v>349</v>
      </c>
      <c r="T143">
        <v>0.99841469297587171</v>
      </c>
      <c r="U143">
        <v>0.12191343263938788</v>
      </c>
    </row>
    <row r="144" spans="10:21">
      <c r="J144" s="39">
        <v>42165</v>
      </c>
      <c r="K144" t="s">
        <v>344</v>
      </c>
      <c r="L144">
        <v>1.4434693699344201</v>
      </c>
      <c r="M144">
        <v>0.21849499971436256</v>
      </c>
      <c r="R144" s="39">
        <v>42166</v>
      </c>
      <c r="S144" t="s">
        <v>350</v>
      </c>
      <c r="T144">
        <v>1.2774475512608854</v>
      </c>
      <c r="U144">
        <v>0.12594256224409339</v>
      </c>
    </row>
    <row r="145" spans="10:21">
      <c r="J145" s="39">
        <v>42165</v>
      </c>
      <c r="K145" t="s">
        <v>345</v>
      </c>
      <c r="L145">
        <v>1.0624315544798739</v>
      </c>
      <c r="M145">
        <v>8.8393453398631222E-2</v>
      </c>
      <c r="R145" s="39">
        <v>42166</v>
      </c>
      <c r="S145" t="s">
        <v>351</v>
      </c>
      <c r="T145">
        <v>1.1527464379189187</v>
      </c>
      <c r="U145">
        <v>0.11626378840177676</v>
      </c>
    </row>
    <row r="146" spans="10:21">
      <c r="J146" s="39">
        <v>42165</v>
      </c>
      <c r="K146" t="s">
        <v>346</v>
      </c>
      <c r="L146">
        <v>1.4867363004770846</v>
      </c>
      <c r="M146">
        <v>0.12545015759039502</v>
      </c>
      <c r="R146" s="39">
        <v>42166</v>
      </c>
      <c r="S146" t="s">
        <v>352</v>
      </c>
      <c r="T146">
        <v>1.0372599863004934</v>
      </c>
      <c r="U146">
        <v>0.10874609928543046</v>
      </c>
    </row>
    <row r="147" spans="10:21">
      <c r="J147" s="39">
        <v>42165</v>
      </c>
      <c r="K147" t="s">
        <v>347</v>
      </c>
      <c r="L147">
        <v>0.9124160039042053</v>
      </c>
      <c r="M147">
        <v>8.5833889628994353E-2</v>
      </c>
      <c r="R147" s="39">
        <v>42166</v>
      </c>
      <c r="S147" t="s">
        <v>353</v>
      </c>
      <c r="T147">
        <v>1.572862336836429</v>
      </c>
      <c r="U147">
        <v>0.16129447224664245</v>
      </c>
    </row>
    <row r="148" spans="10:21">
      <c r="J148" s="39">
        <v>42165</v>
      </c>
      <c r="K148" t="s">
        <v>348</v>
      </c>
      <c r="L148">
        <v>1.2055566438023264</v>
      </c>
      <c r="M148">
        <v>0.12571811413311751</v>
      </c>
      <c r="R148" s="39">
        <v>42166</v>
      </c>
      <c r="S148" t="s">
        <v>355</v>
      </c>
      <c r="T148">
        <v>1.0628265049594627</v>
      </c>
      <c r="U148">
        <v>0.11222084692915169</v>
      </c>
    </row>
    <row r="149" spans="10:21">
      <c r="J149" s="39">
        <v>42165</v>
      </c>
      <c r="K149" t="s">
        <v>349</v>
      </c>
      <c r="L149">
        <v>0.99051287581195246</v>
      </c>
      <c r="M149">
        <v>0.12118096990776939</v>
      </c>
      <c r="R149" s="39">
        <v>42166</v>
      </c>
      <c r="S149" t="s">
        <v>356</v>
      </c>
      <c r="T149">
        <v>0.76955030963484239</v>
      </c>
      <c r="U149">
        <v>9.8391695103127647E-2</v>
      </c>
    </row>
    <row r="150" spans="10:21">
      <c r="J150" s="39">
        <v>42165</v>
      </c>
      <c r="K150" t="s">
        <v>350</v>
      </c>
      <c r="L150">
        <v>1.2713220426331109</v>
      </c>
      <c r="M150">
        <v>0.12545924710946682</v>
      </c>
      <c r="R150" s="39">
        <v>42166</v>
      </c>
      <c r="S150" t="s">
        <v>357</v>
      </c>
      <c r="T150">
        <v>1.0262367171969529</v>
      </c>
      <c r="U150">
        <v>0.10438100263514001</v>
      </c>
    </row>
    <row r="151" spans="10:21">
      <c r="J151" s="39">
        <v>42165</v>
      </c>
      <c r="K151" t="s">
        <v>351</v>
      </c>
      <c r="L151">
        <v>1.1455167629881111</v>
      </c>
      <c r="M151">
        <v>0.11572723992272627</v>
      </c>
      <c r="R151" s="39">
        <v>42166</v>
      </c>
      <c r="S151" t="s">
        <v>358</v>
      </c>
      <c r="T151">
        <v>1.2399698491733533</v>
      </c>
      <c r="U151">
        <v>0.11820981698828281</v>
      </c>
    </row>
    <row r="152" spans="10:21">
      <c r="J152" s="39">
        <v>42165</v>
      </c>
      <c r="K152" t="s">
        <v>352</v>
      </c>
      <c r="L152">
        <v>1.022565572588882</v>
      </c>
      <c r="M152">
        <v>0.1074288313448334</v>
      </c>
      <c r="R152" s="39">
        <v>42166</v>
      </c>
      <c r="S152" t="s">
        <v>359</v>
      </c>
      <c r="T152">
        <v>1.2711542795551802</v>
      </c>
      <c r="U152">
        <v>0.13990036316191981</v>
      </c>
    </row>
    <row r="153" spans="10:21">
      <c r="J153" s="39">
        <v>42165</v>
      </c>
      <c r="K153" t="s">
        <v>353</v>
      </c>
      <c r="L153">
        <v>1.5675506490262288</v>
      </c>
      <c r="M153">
        <v>0.16085133666513429</v>
      </c>
      <c r="R153" s="39">
        <v>42166</v>
      </c>
      <c r="S153" t="s">
        <v>360</v>
      </c>
      <c r="T153">
        <v>1.1449412847577451</v>
      </c>
      <c r="U153">
        <v>0.11101653026595333</v>
      </c>
    </row>
    <row r="154" spans="10:21">
      <c r="J154" s="39">
        <v>42165</v>
      </c>
      <c r="K154" t="s">
        <v>354</v>
      </c>
      <c r="L154">
        <v>1.5086014908242693</v>
      </c>
      <c r="M154">
        <v>0.22794214086758588</v>
      </c>
      <c r="R154" s="39">
        <v>42166</v>
      </c>
      <c r="S154" t="s">
        <v>361</v>
      </c>
      <c r="T154">
        <v>1.0105718784405719</v>
      </c>
      <c r="U154">
        <v>0.10466600496493038</v>
      </c>
    </row>
    <row r="155" spans="10:21">
      <c r="J155" s="39">
        <v>42165</v>
      </c>
      <c r="K155" t="s">
        <v>355</v>
      </c>
      <c r="L155">
        <v>1.0610368874682603</v>
      </c>
      <c r="M155">
        <v>0.11211106603683536</v>
      </c>
      <c r="R155" s="39">
        <v>42166</v>
      </c>
      <c r="S155" t="s">
        <v>362</v>
      </c>
      <c r="T155">
        <v>1.3068188023836227</v>
      </c>
      <c r="U155">
        <v>0.17216484214205954</v>
      </c>
    </row>
    <row r="156" spans="10:21">
      <c r="J156" s="39">
        <v>42165</v>
      </c>
      <c r="K156" t="s">
        <v>356</v>
      </c>
      <c r="L156">
        <v>0.76226870090941845</v>
      </c>
      <c r="M156">
        <v>9.7643730119933936E-2</v>
      </c>
      <c r="R156" s="39">
        <v>42166</v>
      </c>
      <c r="S156" t="s">
        <v>363</v>
      </c>
      <c r="T156">
        <v>1.2989741633371725</v>
      </c>
      <c r="U156">
        <v>0.14648439522348003</v>
      </c>
    </row>
    <row r="157" spans="10:21">
      <c r="J157" s="39">
        <v>42165</v>
      </c>
      <c r="K157" t="s">
        <v>357</v>
      </c>
      <c r="L157">
        <v>1.0262367171969529</v>
      </c>
      <c r="M157">
        <v>0.10438100263514001</v>
      </c>
      <c r="R157" s="39">
        <v>42166</v>
      </c>
      <c r="S157" t="s">
        <v>364</v>
      </c>
      <c r="T157">
        <v>9.6499861820645929</v>
      </c>
      <c r="U157">
        <v>0.29776681079939993</v>
      </c>
    </row>
    <row r="158" spans="10:21">
      <c r="J158" s="39">
        <v>42165</v>
      </c>
      <c r="K158" t="s">
        <v>358</v>
      </c>
      <c r="L158">
        <v>1.2428045182569778</v>
      </c>
      <c r="M158">
        <v>0.11864727569977704</v>
      </c>
      <c r="R158" s="39">
        <v>42167</v>
      </c>
      <c r="S158" t="s">
        <v>345</v>
      </c>
      <c r="T158">
        <v>1.0660968708580569</v>
      </c>
      <c r="U158">
        <v>8.8349653845359311E-2</v>
      </c>
    </row>
    <row r="159" spans="10:21">
      <c r="J159" s="39">
        <v>42165</v>
      </c>
      <c r="K159" t="s">
        <v>359</v>
      </c>
      <c r="L159">
        <v>1.2604399370761146</v>
      </c>
      <c r="M159">
        <v>0.13906243899051149</v>
      </c>
      <c r="R159" s="39">
        <v>42167</v>
      </c>
      <c r="S159" t="s">
        <v>346</v>
      </c>
      <c r="T159">
        <v>1.4952395003826047</v>
      </c>
      <c r="U159">
        <v>0.12611470851284162</v>
      </c>
    </row>
    <row r="160" spans="10:21">
      <c r="J160" s="39">
        <v>42165</v>
      </c>
      <c r="K160" t="s">
        <v>360</v>
      </c>
      <c r="L160">
        <v>1.144858505402963</v>
      </c>
      <c r="M160">
        <v>0.11109033394634847</v>
      </c>
      <c r="R160" s="39">
        <v>42167</v>
      </c>
      <c r="S160" t="s">
        <v>347</v>
      </c>
      <c r="T160">
        <v>0.92662484127134159</v>
      </c>
      <c r="U160">
        <v>8.6918505798100676E-2</v>
      </c>
    </row>
    <row r="161" spans="10:21">
      <c r="J161" s="39">
        <v>42165</v>
      </c>
      <c r="K161" t="s">
        <v>361</v>
      </c>
      <c r="L161">
        <v>1.0079686190366037</v>
      </c>
      <c r="M161">
        <v>0.10445656030742891</v>
      </c>
      <c r="R161" s="39">
        <v>42167</v>
      </c>
      <c r="S161" t="s">
        <v>348</v>
      </c>
      <c r="T161">
        <v>1.1974219415316316</v>
      </c>
      <c r="U161">
        <v>0.12479979025771799</v>
      </c>
    </row>
    <row r="162" spans="10:21">
      <c r="J162" s="39">
        <v>42165</v>
      </c>
      <c r="K162" t="s">
        <v>362</v>
      </c>
      <c r="L162">
        <v>1.2963055269732062</v>
      </c>
      <c r="M162">
        <v>0.17115972595364071</v>
      </c>
      <c r="R162" s="39">
        <v>42167</v>
      </c>
      <c r="S162" t="s">
        <v>349</v>
      </c>
      <c r="T162">
        <v>0.99478819273215602</v>
      </c>
      <c r="U162">
        <v>0.1214549157643607</v>
      </c>
    </row>
    <row r="163" spans="10:21">
      <c r="J163" s="39">
        <v>42165</v>
      </c>
      <c r="K163" t="s">
        <v>363</v>
      </c>
      <c r="L163">
        <v>1.2901279599567317</v>
      </c>
      <c r="M163">
        <v>0.14590013782550931</v>
      </c>
      <c r="R163" s="39">
        <v>42167</v>
      </c>
      <c r="S163" t="s">
        <v>350</v>
      </c>
      <c r="T163">
        <v>1.2774128518068879</v>
      </c>
      <c r="U163">
        <v>0.1259390977384994</v>
      </c>
    </row>
    <row r="164" spans="10:21">
      <c r="J164" s="39">
        <v>42165</v>
      </c>
      <c r="K164" t="s">
        <v>364</v>
      </c>
      <c r="L164">
        <v>9.6408919494398955</v>
      </c>
      <c r="M164">
        <v>0.29764239373028611</v>
      </c>
      <c r="R164" s="39">
        <v>42167</v>
      </c>
      <c r="S164" t="s">
        <v>351</v>
      </c>
      <c r="T164">
        <v>1.1395791480234201</v>
      </c>
      <c r="U164">
        <v>0.1151832583806736</v>
      </c>
    </row>
    <row r="165" spans="10:21">
      <c r="J165" s="39">
        <v>42165</v>
      </c>
      <c r="K165" t="s">
        <v>337</v>
      </c>
      <c r="L165">
        <v>0.86897719916270899</v>
      </c>
      <c r="M165">
        <v>0.47284312935115747</v>
      </c>
      <c r="R165" s="39">
        <v>42167</v>
      </c>
      <c r="S165" t="s">
        <v>352</v>
      </c>
      <c r="T165">
        <v>1.0409723534290276</v>
      </c>
      <c r="U165">
        <v>0.10913281807164667</v>
      </c>
    </row>
    <row r="166" spans="10:21">
      <c r="J166" s="39">
        <v>42165</v>
      </c>
      <c r="K166" t="s">
        <v>338</v>
      </c>
      <c r="L166">
        <v>1.3632604493889169</v>
      </c>
      <c r="M166">
        <v>9.1480722028122546E-2</v>
      </c>
      <c r="R166" s="39">
        <v>42167</v>
      </c>
      <c r="S166" t="s">
        <v>353</v>
      </c>
      <c r="T166">
        <v>1.5731649077153063</v>
      </c>
      <c r="U166">
        <v>0.16132865935280993</v>
      </c>
    </row>
    <row r="167" spans="10:21">
      <c r="J167" s="39">
        <v>42166</v>
      </c>
      <c r="K167" t="s">
        <v>344</v>
      </c>
      <c r="L167">
        <v>1.4457644972695398</v>
      </c>
      <c r="M167">
        <v>0.21847850941701</v>
      </c>
      <c r="R167" s="39">
        <v>42167</v>
      </c>
      <c r="S167" t="s">
        <v>355</v>
      </c>
      <c r="T167">
        <v>1.0797530393625394</v>
      </c>
      <c r="U167">
        <v>0.11400790810334972</v>
      </c>
    </row>
    <row r="168" spans="10:21">
      <c r="J168" s="39">
        <v>42166</v>
      </c>
      <c r="K168" t="s">
        <v>345</v>
      </c>
      <c r="L168">
        <v>1.0660968708580569</v>
      </c>
      <c r="M168">
        <v>8.8349653845359311E-2</v>
      </c>
      <c r="R168" s="39">
        <v>42167</v>
      </c>
      <c r="S168" t="s">
        <v>356</v>
      </c>
      <c r="T168">
        <v>0.76237569601002408</v>
      </c>
      <c r="U168">
        <v>9.7442847513793965E-2</v>
      </c>
    </row>
    <row r="169" spans="10:21">
      <c r="J169" s="39">
        <v>42166</v>
      </c>
      <c r="K169" t="s">
        <v>346</v>
      </c>
      <c r="L169">
        <v>1.4946804800519358</v>
      </c>
      <c r="M169">
        <v>0.12607572062235628</v>
      </c>
      <c r="R169" s="39">
        <v>42167</v>
      </c>
      <c r="S169" t="s">
        <v>357</v>
      </c>
      <c r="T169">
        <v>1.0262367171969529</v>
      </c>
      <c r="U169">
        <v>0.10438100263514001</v>
      </c>
    </row>
    <row r="170" spans="10:21">
      <c r="J170" s="39">
        <v>42166</v>
      </c>
      <c r="K170" t="s">
        <v>347</v>
      </c>
      <c r="L170">
        <v>0.92662484127134159</v>
      </c>
      <c r="M170">
        <v>8.6918505798100676E-2</v>
      </c>
      <c r="R170" s="39">
        <v>42167</v>
      </c>
      <c r="S170" t="s">
        <v>358</v>
      </c>
      <c r="T170">
        <v>1.2577368481940809</v>
      </c>
      <c r="U170">
        <v>0.11961551735601549</v>
      </c>
    </row>
    <row r="171" spans="10:21">
      <c r="J171" s="39">
        <v>42166</v>
      </c>
      <c r="K171" t="s">
        <v>348</v>
      </c>
      <c r="L171">
        <v>1.2086438693706554</v>
      </c>
      <c r="M171">
        <v>0.12600549426213351</v>
      </c>
      <c r="R171" s="39">
        <v>42167</v>
      </c>
      <c r="S171" t="s">
        <v>359</v>
      </c>
      <c r="T171">
        <v>1.2711542795551802</v>
      </c>
      <c r="U171">
        <v>0.13990036316191981</v>
      </c>
    </row>
    <row r="172" spans="10:21">
      <c r="J172" s="39">
        <v>42166</v>
      </c>
      <c r="K172" t="s">
        <v>349</v>
      </c>
      <c r="L172">
        <v>0.99841469297587171</v>
      </c>
      <c r="M172">
        <v>0.12191343263938788</v>
      </c>
      <c r="R172" s="39">
        <v>42167</v>
      </c>
      <c r="S172" t="s">
        <v>360</v>
      </c>
      <c r="T172">
        <v>1.1702791266475525</v>
      </c>
      <c r="U172">
        <v>0.11318610364017354</v>
      </c>
    </row>
    <row r="173" spans="10:21">
      <c r="J173" s="39">
        <v>42166</v>
      </c>
      <c r="K173" t="s">
        <v>350</v>
      </c>
      <c r="L173">
        <v>1.2774475512608854</v>
      </c>
      <c r="M173">
        <v>0.12594256224409339</v>
      </c>
      <c r="R173" s="39">
        <v>42167</v>
      </c>
      <c r="S173" t="s">
        <v>361</v>
      </c>
      <c r="T173">
        <v>1.0218345191442801</v>
      </c>
      <c r="U173">
        <v>0.10582455559341172</v>
      </c>
    </row>
    <row r="174" spans="10:21">
      <c r="J174" s="39">
        <v>42166</v>
      </c>
      <c r="K174" t="s">
        <v>351</v>
      </c>
      <c r="L174">
        <v>1.1527464379189187</v>
      </c>
      <c r="M174">
        <v>0.11626378840177676</v>
      </c>
      <c r="R174" s="39">
        <v>42167</v>
      </c>
      <c r="S174" t="s">
        <v>362</v>
      </c>
      <c r="T174">
        <v>1.3005138850937399</v>
      </c>
      <c r="U174">
        <v>0.17131233572292642</v>
      </c>
    </row>
    <row r="175" spans="10:21">
      <c r="J175" s="39">
        <v>42166</v>
      </c>
      <c r="K175" t="s">
        <v>352</v>
      </c>
      <c r="L175">
        <v>1.0372599863004934</v>
      </c>
      <c r="M175">
        <v>0.10874609928543046</v>
      </c>
      <c r="R175" s="39">
        <v>42167</v>
      </c>
      <c r="S175" t="s">
        <v>363</v>
      </c>
      <c r="T175">
        <v>1.3007671460739842</v>
      </c>
      <c r="U175">
        <v>0.1466804198588823</v>
      </c>
    </row>
    <row r="176" spans="10:21">
      <c r="J176" s="39">
        <v>42166</v>
      </c>
      <c r="K176" t="s">
        <v>353</v>
      </c>
      <c r="L176">
        <v>1.572862336836429</v>
      </c>
      <c r="M176">
        <v>0.16129447224664245</v>
      </c>
      <c r="R176" s="39">
        <v>42167</v>
      </c>
      <c r="S176" t="s">
        <v>364</v>
      </c>
      <c r="T176">
        <v>9.6499861820645929</v>
      </c>
      <c r="U176">
        <v>0.29776681079939993</v>
      </c>
    </row>
    <row r="177" spans="10:21">
      <c r="J177" s="39">
        <v>42166</v>
      </c>
      <c r="K177" t="s">
        <v>354</v>
      </c>
      <c r="L177">
        <v>1.5071294756694908</v>
      </c>
      <c r="M177">
        <v>0.22745494142184777</v>
      </c>
      <c r="R177" s="39">
        <v>42170</v>
      </c>
      <c r="S177" t="s">
        <v>345</v>
      </c>
      <c r="T177">
        <v>1.091941230716359</v>
      </c>
      <c r="U177">
        <v>9.0247411467939534E-2</v>
      </c>
    </row>
    <row r="178" spans="10:21">
      <c r="J178" s="39">
        <v>42166</v>
      </c>
      <c r="K178" t="s">
        <v>355</v>
      </c>
      <c r="L178">
        <v>1.0628265049594627</v>
      </c>
      <c r="M178">
        <v>0.11222084692915169</v>
      </c>
      <c r="R178" s="39">
        <v>42170</v>
      </c>
      <c r="S178" t="s">
        <v>346</v>
      </c>
      <c r="T178">
        <v>1.4889191696629598</v>
      </c>
      <c r="U178">
        <v>0.1257157127424233</v>
      </c>
    </row>
    <row r="179" spans="10:21">
      <c r="J179" s="39">
        <v>42166</v>
      </c>
      <c r="K179" t="s">
        <v>356</v>
      </c>
      <c r="L179">
        <v>0.76955030963484239</v>
      </c>
      <c r="M179">
        <v>9.8391695103127647E-2</v>
      </c>
      <c r="R179" s="39">
        <v>42170</v>
      </c>
      <c r="S179" t="s">
        <v>347</v>
      </c>
      <c r="T179">
        <v>0.92640237227587385</v>
      </c>
      <c r="U179">
        <v>8.6895409321442255E-2</v>
      </c>
    </row>
    <row r="180" spans="10:21">
      <c r="J180" s="39">
        <v>42166</v>
      </c>
      <c r="K180" t="s">
        <v>357</v>
      </c>
      <c r="L180">
        <v>1.0262367171969529</v>
      </c>
      <c r="M180">
        <v>0.10438100263514001</v>
      </c>
      <c r="R180" s="39">
        <v>42170</v>
      </c>
      <c r="S180" t="s">
        <v>348</v>
      </c>
      <c r="T180">
        <v>1.1919374867579293</v>
      </c>
      <c r="U180">
        <v>0.12430452058515998</v>
      </c>
    </row>
    <row r="181" spans="10:21">
      <c r="J181" s="39">
        <v>42166</v>
      </c>
      <c r="K181" t="s">
        <v>358</v>
      </c>
      <c r="L181">
        <v>1.2399698491733533</v>
      </c>
      <c r="M181">
        <v>0.11820981698828281</v>
      </c>
      <c r="R181" s="39">
        <v>42170</v>
      </c>
      <c r="S181" t="s">
        <v>349</v>
      </c>
      <c r="T181">
        <v>0.99677807322980183</v>
      </c>
      <c r="U181">
        <v>0.12174783320005572</v>
      </c>
    </row>
    <row r="182" spans="10:21">
      <c r="J182" s="39">
        <v>42166</v>
      </c>
      <c r="K182" t="s">
        <v>359</v>
      </c>
      <c r="L182">
        <v>1.2711542795551802</v>
      </c>
      <c r="M182">
        <v>0.13990036316191981</v>
      </c>
      <c r="R182" s="39">
        <v>42170</v>
      </c>
      <c r="S182" t="s">
        <v>350</v>
      </c>
      <c r="T182">
        <v>1.2774128518068879</v>
      </c>
      <c r="U182">
        <v>0.1259390977384994</v>
      </c>
    </row>
    <row r="183" spans="10:21">
      <c r="J183" s="39">
        <v>42166</v>
      </c>
      <c r="K183" t="s">
        <v>360</v>
      </c>
      <c r="L183">
        <v>1.1449412847577451</v>
      </c>
      <c r="M183">
        <v>0.11101653026595333</v>
      </c>
      <c r="R183" s="39">
        <v>42170</v>
      </c>
      <c r="S183" t="s">
        <v>351</v>
      </c>
      <c r="T183">
        <v>1.13731008846422</v>
      </c>
      <c r="U183">
        <v>0.11503281783632049</v>
      </c>
    </row>
    <row r="184" spans="10:21">
      <c r="J184" s="39">
        <v>42166</v>
      </c>
      <c r="K184" t="s">
        <v>361</v>
      </c>
      <c r="L184">
        <v>1.0105718784405719</v>
      </c>
      <c r="M184">
        <v>0.10466600496493038</v>
      </c>
      <c r="R184" s="39">
        <v>42170</v>
      </c>
      <c r="S184" t="s">
        <v>352</v>
      </c>
      <c r="T184">
        <v>1.0209618918105696</v>
      </c>
      <c r="U184">
        <v>0.10692691717333061</v>
      </c>
    </row>
    <row r="185" spans="10:21">
      <c r="J185" s="39">
        <v>42166</v>
      </c>
      <c r="K185" t="s">
        <v>362</v>
      </c>
      <c r="L185">
        <v>1.3068188023836227</v>
      </c>
      <c r="M185">
        <v>0.17216484214205954</v>
      </c>
      <c r="R185" s="39">
        <v>42170</v>
      </c>
      <c r="S185" t="s">
        <v>353</v>
      </c>
      <c r="T185">
        <v>1.5735751457451068</v>
      </c>
      <c r="U185">
        <v>0.16153426496558326</v>
      </c>
    </row>
    <row r="186" spans="10:21">
      <c r="J186" s="39">
        <v>42166</v>
      </c>
      <c r="K186" t="s">
        <v>363</v>
      </c>
      <c r="L186">
        <v>1.2989741633371725</v>
      </c>
      <c r="M186">
        <v>0.14648439522348003</v>
      </c>
      <c r="R186" s="39">
        <v>42170</v>
      </c>
      <c r="S186" t="s">
        <v>355</v>
      </c>
      <c r="T186">
        <v>1.0825801843423055</v>
      </c>
      <c r="U186">
        <v>0.11427068490238733</v>
      </c>
    </row>
    <row r="187" spans="10:21">
      <c r="J187" s="39">
        <v>42166</v>
      </c>
      <c r="K187" t="s">
        <v>364</v>
      </c>
      <c r="L187">
        <v>9.6499861820645929</v>
      </c>
      <c r="M187">
        <v>0.29776681079939993</v>
      </c>
      <c r="R187" s="39">
        <v>42170</v>
      </c>
      <c r="S187" t="s">
        <v>356</v>
      </c>
      <c r="T187">
        <v>0.75425486721595103</v>
      </c>
      <c r="U187">
        <v>9.6484330442229121E-2</v>
      </c>
    </row>
    <row r="188" spans="10:21">
      <c r="J188" s="39">
        <v>42166</v>
      </c>
      <c r="K188" t="s">
        <v>337</v>
      </c>
      <c r="L188">
        <v>0.87003395486676793</v>
      </c>
      <c r="M188">
        <v>0.47320093424647963</v>
      </c>
      <c r="R188" s="39">
        <v>42170</v>
      </c>
      <c r="S188" t="s">
        <v>357</v>
      </c>
      <c r="T188">
        <v>1.0270967065265946</v>
      </c>
      <c r="U188">
        <v>0.10424801254191336</v>
      </c>
    </row>
    <row r="189" spans="10:21">
      <c r="J189" s="39">
        <v>42166</v>
      </c>
      <c r="K189" t="s">
        <v>338</v>
      </c>
      <c r="L189">
        <v>1.3632604493889169</v>
      </c>
      <c r="M189">
        <v>9.1480722028122546E-2</v>
      </c>
      <c r="R189" s="39">
        <v>42170</v>
      </c>
      <c r="S189" t="s">
        <v>358</v>
      </c>
      <c r="T189">
        <v>1.2610432141169428</v>
      </c>
      <c r="U189">
        <v>0.11986271876376491</v>
      </c>
    </row>
    <row r="190" spans="10:21">
      <c r="J190" s="39">
        <v>42167</v>
      </c>
      <c r="K190" t="s">
        <v>344</v>
      </c>
      <c r="L190">
        <v>1.4450503889602491</v>
      </c>
      <c r="M190">
        <v>0.21836532760896607</v>
      </c>
      <c r="R190" s="39">
        <v>42170</v>
      </c>
      <c r="S190" t="s">
        <v>359</v>
      </c>
      <c r="T190">
        <v>1.271654871993255</v>
      </c>
      <c r="U190">
        <v>0.13995857991749261</v>
      </c>
    </row>
    <row r="191" spans="10:21">
      <c r="J191" s="39">
        <v>42167</v>
      </c>
      <c r="K191" t="s">
        <v>345</v>
      </c>
      <c r="L191">
        <v>1.0660968708580569</v>
      </c>
      <c r="M191">
        <v>8.8349653845359311E-2</v>
      </c>
      <c r="R191" s="39">
        <v>42170</v>
      </c>
      <c r="S191" t="s">
        <v>360</v>
      </c>
      <c r="T191">
        <v>1.1711804930326069</v>
      </c>
      <c r="U191">
        <v>0.11328650539094443</v>
      </c>
    </row>
    <row r="192" spans="10:21">
      <c r="J192" s="39">
        <v>42167</v>
      </c>
      <c r="K192" t="s">
        <v>346</v>
      </c>
      <c r="L192">
        <v>1.4952395003826047</v>
      </c>
      <c r="M192">
        <v>0.12611470851284162</v>
      </c>
      <c r="R192" s="39">
        <v>42170</v>
      </c>
      <c r="S192" t="s">
        <v>361</v>
      </c>
      <c r="T192">
        <v>1.0228049524748208</v>
      </c>
      <c r="U192">
        <v>0.10594393207922979</v>
      </c>
    </row>
    <row r="193" spans="10:21">
      <c r="J193" s="39">
        <v>42167</v>
      </c>
      <c r="K193" t="s">
        <v>347</v>
      </c>
      <c r="L193">
        <v>0.92662484127134159</v>
      </c>
      <c r="M193">
        <v>8.6918505798100676E-2</v>
      </c>
      <c r="R193" s="39">
        <v>42170</v>
      </c>
      <c r="S193" t="s">
        <v>362</v>
      </c>
      <c r="T193">
        <v>1.3023381582045739</v>
      </c>
      <c r="U193">
        <v>0.17164920545487036</v>
      </c>
    </row>
    <row r="194" spans="10:21">
      <c r="J194" s="39">
        <v>42167</v>
      </c>
      <c r="K194" t="s">
        <v>348</v>
      </c>
      <c r="L194">
        <v>1.1974219415316316</v>
      </c>
      <c r="M194">
        <v>0.12479979025771799</v>
      </c>
      <c r="R194" s="39">
        <v>42170</v>
      </c>
      <c r="S194" t="s">
        <v>363</v>
      </c>
      <c r="T194">
        <v>1.2994077326872793</v>
      </c>
      <c r="U194">
        <v>0.146629202330676</v>
      </c>
    </row>
    <row r="195" spans="10:21">
      <c r="J195" s="39">
        <v>42167</v>
      </c>
      <c r="K195" t="s">
        <v>349</v>
      </c>
      <c r="L195">
        <v>0.99478819273215602</v>
      </c>
      <c r="M195">
        <v>0.1214549157643607</v>
      </c>
      <c r="R195" s="39">
        <v>42170</v>
      </c>
      <c r="S195" t="s">
        <v>364</v>
      </c>
      <c r="T195">
        <v>9.6499861820645929</v>
      </c>
      <c r="U195">
        <v>0.29776681079939993</v>
      </c>
    </row>
    <row r="196" spans="10:21">
      <c r="J196" s="39">
        <v>42167</v>
      </c>
      <c r="K196" t="s">
        <v>350</v>
      </c>
      <c r="L196">
        <v>1.2774128518068879</v>
      </c>
      <c r="M196">
        <v>0.1259390977384994</v>
      </c>
      <c r="R196" s="39">
        <v>42171</v>
      </c>
      <c r="S196" t="s">
        <v>345</v>
      </c>
      <c r="T196">
        <v>1.1382978615493935</v>
      </c>
      <c r="U196">
        <v>9.4021745073790755E-2</v>
      </c>
    </row>
    <row r="197" spans="10:21">
      <c r="J197" s="39">
        <v>42167</v>
      </c>
      <c r="K197" t="s">
        <v>351</v>
      </c>
      <c r="L197">
        <v>1.1395791480234201</v>
      </c>
      <c r="M197">
        <v>0.1151832583806736</v>
      </c>
      <c r="R197" s="39">
        <v>42171</v>
      </c>
      <c r="S197" t="s">
        <v>346</v>
      </c>
      <c r="T197">
        <v>1.4408023561163834</v>
      </c>
      <c r="U197">
        <v>0.12170384708576541</v>
      </c>
    </row>
    <row r="198" spans="10:21">
      <c r="J198" s="39">
        <v>42167</v>
      </c>
      <c r="K198" t="s">
        <v>352</v>
      </c>
      <c r="L198">
        <v>1.0409723534290276</v>
      </c>
      <c r="M198">
        <v>0.10913281807164667</v>
      </c>
      <c r="R198" s="39">
        <v>42171</v>
      </c>
      <c r="S198" t="s">
        <v>347</v>
      </c>
      <c r="T198">
        <v>0.93254424512581513</v>
      </c>
      <c r="U198">
        <v>8.759270804593032E-2</v>
      </c>
    </row>
    <row r="199" spans="10:21">
      <c r="J199" s="39">
        <v>42167</v>
      </c>
      <c r="K199" t="s">
        <v>353</v>
      </c>
      <c r="L199">
        <v>1.5731649077153063</v>
      </c>
      <c r="M199">
        <v>0.16132865935280993</v>
      </c>
      <c r="R199" s="39">
        <v>42171</v>
      </c>
      <c r="S199" t="s">
        <v>348</v>
      </c>
      <c r="T199">
        <v>1.1919374867579293</v>
      </c>
      <c r="U199">
        <v>0.12430452058515998</v>
      </c>
    </row>
    <row r="200" spans="10:21">
      <c r="J200" s="39">
        <v>42167</v>
      </c>
      <c r="K200" t="s">
        <v>354</v>
      </c>
      <c r="L200">
        <v>1.5071068406045072</v>
      </c>
      <c r="M200">
        <v>0.22744084271344991</v>
      </c>
      <c r="R200" s="39">
        <v>42171</v>
      </c>
      <c r="S200" t="s">
        <v>349</v>
      </c>
      <c r="T200">
        <v>0.98848702565818214</v>
      </c>
      <c r="U200">
        <v>0.12084308798197183</v>
      </c>
    </row>
    <row r="201" spans="10:21">
      <c r="J201" s="39">
        <v>42167</v>
      </c>
      <c r="K201" t="s">
        <v>355</v>
      </c>
      <c r="L201">
        <v>1.0797530393625394</v>
      </c>
      <c r="M201">
        <v>0.11400790810334972</v>
      </c>
      <c r="R201" s="39">
        <v>42171</v>
      </c>
      <c r="S201" t="s">
        <v>350</v>
      </c>
      <c r="T201">
        <v>1.2740695405477125</v>
      </c>
      <c r="U201">
        <v>0.12573579452137978</v>
      </c>
    </row>
    <row r="202" spans="10:21">
      <c r="J202" s="39">
        <v>42167</v>
      </c>
      <c r="K202" t="s">
        <v>356</v>
      </c>
      <c r="L202">
        <v>0.76237569601002408</v>
      </c>
      <c r="M202">
        <v>9.7442847513793965E-2</v>
      </c>
      <c r="R202" s="39">
        <v>42171</v>
      </c>
      <c r="S202" t="s">
        <v>351</v>
      </c>
      <c r="T202">
        <v>1.1185873385991103</v>
      </c>
      <c r="U202">
        <v>0.11321129883620984</v>
      </c>
    </row>
    <row r="203" spans="10:21">
      <c r="J203" s="39">
        <v>42167</v>
      </c>
      <c r="K203" t="s">
        <v>357</v>
      </c>
      <c r="L203">
        <v>1.0262367171969529</v>
      </c>
      <c r="M203">
        <v>0.10438100263514001</v>
      </c>
      <c r="R203" s="39">
        <v>42171</v>
      </c>
      <c r="S203" t="s">
        <v>352</v>
      </c>
      <c r="T203">
        <v>0.994609653942226</v>
      </c>
      <c r="U203">
        <v>0.10419898688356592</v>
      </c>
    </row>
    <row r="204" spans="10:21">
      <c r="J204" s="39">
        <v>42167</v>
      </c>
      <c r="K204" t="s">
        <v>358</v>
      </c>
      <c r="L204">
        <v>1.2577368481940809</v>
      </c>
      <c r="M204">
        <v>0.11961551735601549</v>
      </c>
      <c r="R204" s="39">
        <v>42171</v>
      </c>
      <c r="S204" t="s">
        <v>353</v>
      </c>
      <c r="T204">
        <v>1.5735751457451068</v>
      </c>
      <c r="U204">
        <v>0.16153426496558326</v>
      </c>
    </row>
    <row r="205" spans="10:21">
      <c r="J205" s="39">
        <v>42167</v>
      </c>
      <c r="K205" t="s">
        <v>359</v>
      </c>
      <c r="L205">
        <v>1.2711542795551802</v>
      </c>
      <c r="M205">
        <v>0.13990036316191981</v>
      </c>
      <c r="R205" s="39">
        <v>42171</v>
      </c>
      <c r="S205" t="s">
        <v>355</v>
      </c>
      <c r="T205">
        <v>1.0825801843423055</v>
      </c>
      <c r="U205">
        <v>0.11427068490238733</v>
      </c>
    </row>
    <row r="206" spans="10:21">
      <c r="J206" s="39">
        <v>42167</v>
      </c>
      <c r="K206" t="s">
        <v>360</v>
      </c>
      <c r="L206">
        <v>1.1702791266475525</v>
      </c>
      <c r="M206">
        <v>0.11318610364017354</v>
      </c>
      <c r="R206" s="39">
        <v>42171</v>
      </c>
      <c r="S206" t="s">
        <v>356</v>
      </c>
      <c r="T206">
        <v>0.74896048887427358</v>
      </c>
      <c r="U206">
        <v>9.5901172050214145E-2</v>
      </c>
    </row>
    <row r="207" spans="10:21">
      <c r="J207" s="39">
        <v>42167</v>
      </c>
      <c r="K207" t="s">
        <v>361</v>
      </c>
      <c r="L207">
        <v>1.0218345191442801</v>
      </c>
      <c r="M207">
        <v>0.10582455559341172</v>
      </c>
      <c r="R207" s="39">
        <v>42171</v>
      </c>
      <c r="S207" t="s">
        <v>357</v>
      </c>
      <c r="T207">
        <v>1.0270967065265946</v>
      </c>
      <c r="U207">
        <v>0.10424801254191336</v>
      </c>
    </row>
    <row r="208" spans="10:21">
      <c r="J208" s="39">
        <v>42167</v>
      </c>
      <c r="K208" t="s">
        <v>362</v>
      </c>
      <c r="L208">
        <v>1.3005138850937399</v>
      </c>
      <c r="M208">
        <v>0.17131233572292642</v>
      </c>
      <c r="R208" s="39">
        <v>42171</v>
      </c>
      <c r="S208" t="s">
        <v>358</v>
      </c>
      <c r="T208">
        <v>1.2531575084715478</v>
      </c>
      <c r="U208">
        <v>0.11928041902433352</v>
      </c>
    </row>
    <row r="209" spans="10:21">
      <c r="J209" s="39">
        <v>42167</v>
      </c>
      <c r="K209" t="s">
        <v>363</v>
      </c>
      <c r="L209">
        <v>1.3007671460739842</v>
      </c>
      <c r="M209">
        <v>0.1466804198588823</v>
      </c>
      <c r="R209" s="39">
        <v>42171</v>
      </c>
      <c r="S209" t="s">
        <v>359</v>
      </c>
      <c r="T209">
        <v>1.262016812844309</v>
      </c>
      <c r="U209">
        <v>0.13905860410237514</v>
      </c>
    </row>
    <row r="210" spans="10:21">
      <c r="J210" s="39">
        <v>42167</v>
      </c>
      <c r="K210" t="s">
        <v>364</v>
      </c>
      <c r="L210">
        <v>9.6499861820645929</v>
      </c>
      <c r="M210">
        <v>0.29776681079939993</v>
      </c>
      <c r="R210" s="39">
        <v>42171</v>
      </c>
      <c r="S210" t="s">
        <v>360</v>
      </c>
      <c r="T210">
        <v>1.1723737268816201</v>
      </c>
      <c r="U210">
        <v>0.11356435974534881</v>
      </c>
    </row>
    <row r="211" spans="10:21">
      <c r="J211" s="39">
        <v>42167</v>
      </c>
      <c r="K211" t="s">
        <v>337</v>
      </c>
      <c r="L211">
        <v>0.86283839272177065</v>
      </c>
      <c r="M211">
        <v>0.47099092179849156</v>
      </c>
      <c r="R211" s="39">
        <v>42171</v>
      </c>
      <c r="S211" t="s">
        <v>361</v>
      </c>
      <c r="T211">
        <v>1.0228049524748208</v>
      </c>
      <c r="U211">
        <v>0.10594393207922979</v>
      </c>
    </row>
    <row r="212" spans="10:21">
      <c r="J212" s="39">
        <v>42167</v>
      </c>
      <c r="K212" t="s">
        <v>338</v>
      </c>
      <c r="L212">
        <v>1.3632604493889169</v>
      </c>
      <c r="M212">
        <v>9.1480722028122546E-2</v>
      </c>
      <c r="R212" s="39">
        <v>42171</v>
      </c>
      <c r="S212" t="s">
        <v>362</v>
      </c>
      <c r="T212">
        <v>1.2972431010561787</v>
      </c>
      <c r="U212">
        <v>0.17114982158426106</v>
      </c>
    </row>
    <row r="213" spans="10:21">
      <c r="J213" s="39">
        <v>42170</v>
      </c>
      <c r="K213" t="s">
        <v>344</v>
      </c>
      <c r="L213">
        <v>1.4381579686942738</v>
      </c>
      <c r="M213">
        <v>0.21765790409879393</v>
      </c>
      <c r="R213" s="39">
        <v>42171</v>
      </c>
      <c r="S213" t="s">
        <v>363</v>
      </c>
      <c r="T213">
        <v>1.2994077326872793</v>
      </c>
      <c r="U213">
        <v>0.146629202330676</v>
      </c>
    </row>
    <row r="214" spans="10:21">
      <c r="J214" s="39">
        <v>42170</v>
      </c>
      <c r="K214" t="s">
        <v>345</v>
      </c>
      <c r="L214">
        <v>1.091941230716359</v>
      </c>
      <c r="M214">
        <v>9.0247411467939534E-2</v>
      </c>
      <c r="R214" s="39">
        <v>42171</v>
      </c>
      <c r="S214" t="s">
        <v>364</v>
      </c>
      <c r="T214">
        <v>9.6499861820645929</v>
      </c>
      <c r="U214">
        <v>0.29776681079939993</v>
      </c>
    </row>
    <row r="215" spans="10:21">
      <c r="J215" s="39">
        <v>42170</v>
      </c>
      <c r="K215" t="s">
        <v>346</v>
      </c>
      <c r="L215">
        <v>1.4889191696629598</v>
      </c>
      <c r="M215">
        <v>0.1257157127424233</v>
      </c>
    </row>
    <row r="216" spans="10:21">
      <c r="J216" s="39">
        <v>42170</v>
      </c>
      <c r="K216" t="s">
        <v>347</v>
      </c>
      <c r="L216">
        <v>0.92640237227587385</v>
      </c>
      <c r="M216">
        <v>8.6895409321442255E-2</v>
      </c>
    </row>
    <row r="217" spans="10:21">
      <c r="J217" s="39">
        <v>42170</v>
      </c>
      <c r="K217" t="s">
        <v>348</v>
      </c>
      <c r="L217">
        <v>1.1919374867579293</v>
      </c>
      <c r="M217">
        <v>0.12430452058515998</v>
      </c>
    </row>
    <row r="218" spans="10:21">
      <c r="J218" s="39">
        <v>42170</v>
      </c>
      <c r="K218" t="s">
        <v>349</v>
      </c>
      <c r="L218">
        <v>0.99677807322980183</v>
      </c>
      <c r="M218">
        <v>0.12174783320005572</v>
      </c>
    </row>
    <row r="219" spans="10:21">
      <c r="J219" s="39">
        <v>42170</v>
      </c>
      <c r="K219" t="s">
        <v>350</v>
      </c>
      <c r="L219">
        <v>1.2774128518068879</v>
      </c>
      <c r="M219">
        <v>0.1259390977384994</v>
      </c>
    </row>
    <row r="220" spans="10:21">
      <c r="J220" s="39">
        <v>42170</v>
      </c>
      <c r="K220" t="s">
        <v>351</v>
      </c>
      <c r="L220">
        <v>1.13731008846422</v>
      </c>
      <c r="M220">
        <v>0.11503281783632049</v>
      </c>
    </row>
    <row r="221" spans="10:21">
      <c r="J221" s="39">
        <v>42170</v>
      </c>
      <c r="K221" t="s">
        <v>352</v>
      </c>
      <c r="L221">
        <v>1.0209618918105696</v>
      </c>
      <c r="M221">
        <v>0.10692691717333061</v>
      </c>
    </row>
    <row r="222" spans="10:21">
      <c r="J222" s="39">
        <v>42170</v>
      </c>
      <c r="K222" t="s">
        <v>353</v>
      </c>
      <c r="L222">
        <v>1.5735751457451068</v>
      </c>
      <c r="M222">
        <v>0.16153426496558326</v>
      </c>
    </row>
    <row r="223" spans="10:21">
      <c r="J223" s="39">
        <v>42170</v>
      </c>
      <c r="K223" t="s">
        <v>354</v>
      </c>
      <c r="L223">
        <v>1.4994486524141488</v>
      </c>
      <c r="M223">
        <v>0.22664048646935184</v>
      </c>
    </row>
    <row r="224" spans="10:21">
      <c r="J224" s="39">
        <v>42170</v>
      </c>
      <c r="K224" t="s">
        <v>355</v>
      </c>
      <c r="L224">
        <v>1.0825801843423055</v>
      </c>
      <c r="M224">
        <v>0.11427068490238733</v>
      </c>
    </row>
    <row r="225" spans="10:13">
      <c r="J225" s="39">
        <v>42170</v>
      </c>
      <c r="K225" t="s">
        <v>356</v>
      </c>
      <c r="L225">
        <v>0.75425486721595103</v>
      </c>
      <c r="M225">
        <v>9.6484330442229121E-2</v>
      </c>
    </row>
    <row r="226" spans="10:13">
      <c r="J226" s="39">
        <v>42170</v>
      </c>
      <c r="K226" t="s">
        <v>357</v>
      </c>
      <c r="L226">
        <v>1.0270967065265946</v>
      </c>
      <c r="M226">
        <v>0.10424801254191336</v>
      </c>
    </row>
    <row r="227" spans="10:13">
      <c r="J227" s="39">
        <v>42170</v>
      </c>
      <c r="K227" t="s">
        <v>358</v>
      </c>
      <c r="L227">
        <v>1.2610432141169428</v>
      </c>
      <c r="M227">
        <v>0.11986271876376491</v>
      </c>
    </row>
    <row r="228" spans="10:13">
      <c r="J228" s="39">
        <v>42170</v>
      </c>
      <c r="K228" t="s">
        <v>359</v>
      </c>
      <c r="L228">
        <v>1.271654871993255</v>
      </c>
      <c r="M228">
        <v>0.13995857991749261</v>
      </c>
    </row>
    <row r="229" spans="10:13">
      <c r="J229" s="39">
        <v>42170</v>
      </c>
      <c r="K229" t="s">
        <v>360</v>
      </c>
      <c r="L229">
        <v>1.1711804930326069</v>
      </c>
      <c r="M229">
        <v>0.11328650539094443</v>
      </c>
    </row>
    <row r="230" spans="10:13">
      <c r="J230" s="39">
        <v>42170</v>
      </c>
      <c r="K230" t="s">
        <v>361</v>
      </c>
      <c r="L230">
        <v>1.0228049524748208</v>
      </c>
      <c r="M230">
        <v>0.10594393207922979</v>
      </c>
    </row>
    <row r="231" spans="10:13">
      <c r="J231" s="39">
        <v>42170</v>
      </c>
      <c r="K231" t="s">
        <v>362</v>
      </c>
      <c r="L231">
        <v>1.3023381582045739</v>
      </c>
      <c r="M231">
        <v>0.17164920545487036</v>
      </c>
    </row>
    <row r="232" spans="10:13">
      <c r="J232" s="39">
        <v>42170</v>
      </c>
      <c r="K232" t="s">
        <v>363</v>
      </c>
      <c r="L232">
        <v>1.2994077326872793</v>
      </c>
      <c r="M232">
        <v>0.146629202330676</v>
      </c>
    </row>
    <row r="233" spans="10:13">
      <c r="J233" s="39">
        <v>42170</v>
      </c>
      <c r="K233" t="s">
        <v>364</v>
      </c>
      <c r="L233">
        <v>9.6499861820645929</v>
      </c>
      <c r="M233">
        <v>0.29776681079939993</v>
      </c>
    </row>
    <row r="234" spans="10:13">
      <c r="J234" s="39">
        <v>42170</v>
      </c>
      <c r="K234" t="s">
        <v>337</v>
      </c>
      <c r="L234">
        <v>0.86333341739205904</v>
      </c>
      <c r="M234">
        <v>0.47155271936090809</v>
      </c>
    </row>
    <row r="235" spans="10:13">
      <c r="J235" s="39">
        <v>42170</v>
      </c>
      <c r="K235" t="s">
        <v>338</v>
      </c>
      <c r="L235">
        <v>1.3632604493889169</v>
      </c>
      <c r="M235">
        <v>9.1480722028122546E-2</v>
      </c>
    </row>
    <row r="236" spans="10:13">
      <c r="J236" s="39">
        <v>42171</v>
      </c>
      <c r="K236" t="s">
        <v>344</v>
      </c>
      <c r="L236">
        <v>1.4328381309056342</v>
      </c>
      <c r="M236">
        <v>0.21706972819090334</v>
      </c>
    </row>
    <row r="237" spans="10:13">
      <c r="J237" s="39">
        <v>42171</v>
      </c>
      <c r="K237" t="s">
        <v>345</v>
      </c>
      <c r="L237">
        <v>1.1382978615493935</v>
      </c>
      <c r="M237">
        <v>9.4021745073790755E-2</v>
      </c>
    </row>
    <row r="238" spans="10:13">
      <c r="J238" s="39">
        <v>42171</v>
      </c>
      <c r="K238" t="s">
        <v>346</v>
      </c>
      <c r="L238">
        <v>1.4408023561163834</v>
      </c>
      <c r="M238">
        <v>0.12170384708576541</v>
      </c>
    </row>
    <row r="239" spans="10:13">
      <c r="J239" s="39">
        <v>42171</v>
      </c>
      <c r="K239" t="s">
        <v>347</v>
      </c>
      <c r="L239">
        <v>0.93254424512581513</v>
      </c>
      <c r="M239">
        <v>8.759270804593032E-2</v>
      </c>
    </row>
    <row r="240" spans="10:13">
      <c r="J240" s="39">
        <v>42171</v>
      </c>
      <c r="K240" t="s">
        <v>348</v>
      </c>
      <c r="L240">
        <v>1.1919374867579293</v>
      </c>
      <c r="M240">
        <v>0.12430452058515998</v>
      </c>
    </row>
    <row r="241" spans="10:13">
      <c r="J241" s="39">
        <v>42171</v>
      </c>
      <c r="K241" t="s">
        <v>349</v>
      </c>
      <c r="L241">
        <v>0.98848702565818214</v>
      </c>
      <c r="M241">
        <v>0.12084308798197183</v>
      </c>
    </row>
    <row r="242" spans="10:13">
      <c r="J242" s="39">
        <v>42171</v>
      </c>
      <c r="K242" t="s">
        <v>350</v>
      </c>
      <c r="L242">
        <v>1.2740695405477125</v>
      </c>
      <c r="M242">
        <v>0.12573579452137978</v>
      </c>
    </row>
    <row r="243" spans="10:13">
      <c r="J243" s="39">
        <v>42171</v>
      </c>
      <c r="K243" t="s">
        <v>351</v>
      </c>
      <c r="L243">
        <v>1.1185873385991103</v>
      </c>
      <c r="M243">
        <v>0.11321129883620984</v>
      </c>
    </row>
    <row r="244" spans="10:13">
      <c r="J244" s="39">
        <v>42171</v>
      </c>
      <c r="K244" t="s">
        <v>352</v>
      </c>
      <c r="L244">
        <v>0.994609653942226</v>
      </c>
      <c r="M244">
        <v>0.10419898688356592</v>
      </c>
    </row>
    <row r="245" spans="10:13">
      <c r="J245" s="39">
        <v>42171</v>
      </c>
      <c r="K245" t="s">
        <v>353</v>
      </c>
      <c r="L245">
        <v>1.5735751457451068</v>
      </c>
      <c r="M245">
        <v>0.16153426496558326</v>
      </c>
    </row>
    <row r="246" spans="10:13">
      <c r="J246" s="39">
        <v>42171</v>
      </c>
      <c r="K246" t="s">
        <v>354</v>
      </c>
      <c r="L246">
        <v>1.4925872205768222</v>
      </c>
      <c r="M246">
        <v>0.22581822577797478</v>
      </c>
    </row>
    <row r="247" spans="10:13">
      <c r="J247" s="39">
        <v>42171</v>
      </c>
      <c r="K247" t="s">
        <v>355</v>
      </c>
      <c r="L247">
        <v>1.0825801843423055</v>
      </c>
      <c r="M247">
        <v>0.11427068490238733</v>
      </c>
    </row>
    <row r="248" spans="10:13">
      <c r="J248" s="39">
        <v>42171</v>
      </c>
      <c r="K248" t="s">
        <v>356</v>
      </c>
      <c r="L248">
        <v>0.74896048887427358</v>
      </c>
      <c r="M248">
        <v>9.5901172050214145E-2</v>
      </c>
    </row>
    <row r="249" spans="10:13">
      <c r="J249" s="39">
        <v>42171</v>
      </c>
      <c r="K249" t="s">
        <v>357</v>
      </c>
      <c r="L249">
        <v>1.0270967065265946</v>
      </c>
      <c r="M249">
        <v>0.10424801254191336</v>
      </c>
    </row>
    <row r="250" spans="10:13">
      <c r="J250" s="39">
        <v>42171</v>
      </c>
      <c r="K250" t="s">
        <v>358</v>
      </c>
      <c r="L250">
        <v>1.2531575084715478</v>
      </c>
      <c r="M250">
        <v>0.11928041902433352</v>
      </c>
    </row>
    <row r="251" spans="10:13">
      <c r="J251" s="39">
        <v>42171</v>
      </c>
      <c r="K251" t="s">
        <v>359</v>
      </c>
      <c r="L251">
        <v>1.262016812844309</v>
      </c>
      <c r="M251">
        <v>0.13905860410237514</v>
      </c>
    </row>
    <row r="252" spans="10:13">
      <c r="J252" s="39">
        <v>42171</v>
      </c>
      <c r="K252" t="s">
        <v>360</v>
      </c>
      <c r="L252">
        <v>1.1723737268816201</v>
      </c>
      <c r="M252">
        <v>0.11356435974534881</v>
      </c>
    </row>
    <row r="253" spans="10:13">
      <c r="J253" s="39">
        <v>42171</v>
      </c>
      <c r="K253" t="s">
        <v>361</v>
      </c>
      <c r="L253">
        <v>1.0228049524748208</v>
      </c>
      <c r="M253">
        <v>0.10594393207922979</v>
      </c>
    </row>
    <row r="254" spans="10:13">
      <c r="J254" s="39">
        <v>42171</v>
      </c>
      <c r="K254" t="s">
        <v>362</v>
      </c>
      <c r="L254">
        <v>1.2972431010561787</v>
      </c>
      <c r="M254">
        <v>0.17114982158426106</v>
      </c>
    </row>
    <row r="255" spans="10:13">
      <c r="J255" s="39">
        <v>42171</v>
      </c>
      <c r="K255" t="s">
        <v>363</v>
      </c>
      <c r="L255">
        <v>1.2994077326872793</v>
      </c>
      <c r="M255">
        <v>0.146629202330676</v>
      </c>
    </row>
    <row r="256" spans="10:13">
      <c r="J256" s="39">
        <v>42171</v>
      </c>
      <c r="K256" t="s">
        <v>364</v>
      </c>
      <c r="L256">
        <v>9.6499861820645929</v>
      </c>
      <c r="M256">
        <v>0.29776681079939993</v>
      </c>
    </row>
    <row r="257" spans="10:13">
      <c r="J257" s="39">
        <v>42171</v>
      </c>
      <c r="K257" t="s">
        <v>337</v>
      </c>
      <c r="L257">
        <v>0.85933660015366287</v>
      </c>
      <c r="M257">
        <v>0.46968606052344181</v>
      </c>
    </row>
    <row r="258" spans="10:13">
      <c r="J258" s="39">
        <v>42171</v>
      </c>
      <c r="K258" t="s">
        <v>338</v>
      </c>
      <c r="L258">
        <v>1.3632604493889169</v>
      </c>
      <c r="M258">
        <v>9.1480722028122546E-2</v>
      </c>
    </row>
  </sheetData>
  <mergeCells count="3">
    <mergeCell ref="C3:N3"/>
    <mergeCell ref="C4:N4"/>
    <mergeCell ref="C6:N6"/>
  </mergeCells>
  <pageMargins left="0.7" right="0.7" top="0.75" bottom="0.75" header="0.3" footer="0.3"/>
  <pageSetup orientation="portrait" horizontalDpi="1200" verticalDpi="1200" r:id="rId1"/>
  <legacyDrawing r:id="rId2"/>
  <controls>
    <control shapeId="23554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Description</vt:lpstr>
      <vt:lpstr>Execute_SQL</vt:lpstr>
      <vt:lpstr>rngExecSQL</vt:lpstr>
      <vt:lpstr>CallSqlFunction</vt:lpstr>
      <vt:lpstr>SqlMultiParamFunc</vt:lpstr>
      <vt:lpstr>CopyFromRecordSetError</vt:lpstr>
      <vt:lpstr>TargetofCOpyFromRecordSheet</vt:lpstr>
      <vt:lpstr>Open_Client</vt:lpstr>
      <vt:lpstr>RecordSet</vt:lpstr>
      <vt:lpstr>FilteredRecordSet2Array</vt:lpstr>
    </vt:vector>
  </TitlesOfParts>
  <Company>Perry 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Katz</dc:creator>
  <cp:lastModifiedBy>Andrew</cp:lastModifiedBy>
  <cp:lastPrinted>2013-05-17T19:57:30Z</cp:lastPrinted>
  <dcterms:created xsi:type="dcterms:W3CDTF">2007-08-02T15:21:07Z</dcterms:created>
  <dcterms:modified xsi:type="dcterms:W3CDTF">2016-08-21T17:32:13Z</dcterms:modified>
</cp:coreProperties>
</file>